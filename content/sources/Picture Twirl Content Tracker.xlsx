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LIbrary" sheetId="1" r:id="rId5"/>
    <sheet state="visible" name="Content Submissions - Current" sheetId="2" r:id="rId6"/>
    <sheet state="visible" name="Archive" sheetId="3" r:id="rId7"/>
    <sheet state="visible" name="Image Library" sheetId="4" r:id="rId8"/>
    <sheet state="visible" name="Category Overview" sheetId="5" r:id="rId9"/>
  </sheets>
  <definedNames>
    <definedName name="ITEMID">LAMBDA(IF(#REF!="","",LOWER(REGEXREPLACE(#REF!,"[^A-Za-z0-9]",""))&amp;"-"&amp;TEXT(COUNTIF(#REF!,#REF!),"000")))</definedName>
  </definedNames>
  <calcPr/>
</workbook>
</file>

<file path=xl/sharedStrings.xml><?xml version="1.0" encoding="utf-8"?>
<sst xmlns="http://schemas.openxmlformats.org/spreadsheetml/2006/main" count="4032" uniqueCount="647">
  <si>
    <t>Image Title</t>
  </si>
  <si>
    <t>Answer Text</t>
  </si>
  <si>
    <t>Category</t>
  </si>
  <si>
    <t>Tags</t>
  </si>
  <si>
    <t>Image Source URL</t>
  </si>
  <si>
    <t>License Type</t>
  </si>
  <si>
    <t>Attribution Needed?</t>
  </si>
  <si>
    <t>Attribution Text</t>
  </si>
  <si>
    <t>Upload Date</t>
  </si>
  <si>
    <t>Last Used</t>
  </si>
  <si>
    <t>Status</t>
  </si>
  <si>
    <t>Notes</t>
  </si>
  <si>
    <t>Timestamp</t>
  </si>
  <si>
    <t>Item ID</t>
  </si>
  <si>
    <t>Answer</t>
  </si>
  <si>
    <t>Image File / URL</t>
  </si>
  <si>
    <t>Difficulty</t>
  </si>
  <si>
    <t>Source / License</t>
  </si>
  <si>
    <t>Cakes &amp; Pies</t>
  </si>
  <si>
    <t>cakespies-001</t>
  </si>
  <si>
    <t>Cupcake</t>
  </si>
  <si>
    <t>https://unsplash.com/photos/cupcake-with-pink-icing-on-top-zEwgRzJJIvk</t>
  </si>
  <si>
    <t>Uploader Name</t>
  </si>
  <si>
    <t>Subcategory: divine desserts</t>
  </si>
  <si>
    <t>cakespies-002</t>
  </si>
  <si>
    <t>Lemon Meringue Pie</t>
  </si>
  <si>
    <t>https://unsplash.com/photos/white-icing-cake-with-sliced-of-green-citrus-fruit-on-white-ceramic-plate-qE0Q1mIOqKw</t>
  </si>
  <si>
    <t>Category Count</t>
  </si>
  <si>
    <t>Pizza</t>
  </si>
  <si>
    <t>Fruit</t>
  </si>
  <si>
    <t>fruit-001</t>
  </si>
  <si>
    <t>Lemon</t>
  </si>
  <si>
    <t>https://unsplash.com/photos/sliced-orange-fruit-on-white-background-G693X4i3F2I</t>
  </si>
  <si>
    <t>Food Icons</t>
  </si>
  <si>
    <t>food</t>
  </si>
  <si>
    <t>https://unsplash.com/photos/pizza-on-chopping-board-MqT0asuoIcU</t>
  </si>
  <si>
    <t>subcategory: fantastic fruit</t>
  </si>
  <si>
    <t>fruit-002</t>
  </si>
  <si>
    <t>Tomato</t>
  </si>
  <si>
    <t>https://unsplash.com/photos/red-round-fruit-on-white-background-KPOwqvdZ34o</t>
  </si>
  <si>
    <t>Vegetables</t>
  </si>
  <si>
    <t>vegetables-001</t>
  </si>
  <si>
    <t>Cucumber</t>
  </si>
  <si>
    <t>https://unsplash.com/photos/green-cucumber-on-white-surface-UrLT3x0x9sA</t>
  </si>
  <si>
    <t>Unknown</t>
  </si>
  <si>
    <t>Yes</t>
  </si>
  <si>
    <t>vegetables-002</t>
  </si>
  <si>
    <t>Green Beans</t>
  </si>
  <si>
    <t>https://unsplash.com/photos/green-chili-on-white-background-deT27osDH18</t>
  </si>
  <si>
    <t>unsplash</t>
  </si>
  <si>
    <t>Lou O</t>
  </si>
  <si>
    <t>First image</t>
  </si>
  <si>
    <t>Category Name</t>
  </si>
  <si>
    <t># of Images</t>
  </si>
  <si>
    <t>Most Used Image</t>
  </si>
  <si>
    <t>Average Recognition</t>
  </si>
  <si>
    <t>fruit-003</t>
  </si>
  <si>
    <t>Cherry Tomato</t>
  </si>
  <si>
    <t>Last Updated</t>
  </si>
  <si>
    <t>https://unsplash.com/photos/red-tomatoes-on-white-surface-ND9W782cP-Q</t>
  </si>
  <si>
    <t>fruit-004</t>
  </si>
  <si>
    <t>Peaches</t>
  </si>
  <si>
    <t>https://unsplash.com/photos/brown-fruits-aMDNtd4ml9Q</t>
  </si>
  <si>
    <t>desserts</t>
  </si>
  <si>
    <t>fruit-005</t>
  </si>
  <si>
    <t>Avocado</t>
  </si>
  <si>
    <t>https://unsplash.com/photos/sliced-avocado-against-white-background--XG5adJbJRk</t>
  </si>
  <si>
    <t>fruit-006</t>
  </si>
  <si>
    <t>Watermelon</t>
  </si>
  <si>
    <t>https://unsplash.com/photos/shallow-focus-photography-of-bowl-of-watermelon-cYZxxz4AweE</t>
  </si>
  <si>
    <t>Unsplash</t>
  </si>
  <si>
    <t>fruit-007</t>
  </si>
  <si>
    <t>Green Apple</t>
  </si>
  <si>
    <t>https://unsplash.com/photos/bunch-of-green-apples-BqOTmSUQHvg</t>
  </si>
  <si>
    <t>pie</t>
  </si>
  <si>
    <t>fruit-008</t>
  </si>
  <si>
    <t>Banana</t>
  </si>
  <si>
    <t>https://unsplash.com/photos/yellow-banana-fruit-on-yellow-surface-fS_iWTE3Umk</t>
  </si>
  <si>
    <t>Junk Food</t>
  </si>
  <si>
    <t>junkfood-001</t>
  </si>
  <si>
    <t>Donuts</t>
  </si>
  <si>
    <t>https://unsplash.com/photos/pink-blue-and-chocolate-with-sprinkles-doughnuts-on-table-NnTQBkBkU9g</t>
  </si>
  <si>
    <t>lemon</t>
  </si>
  <si>
    <t>cakespies-003</t>
  </si>
  <si>
    <t>Cherry Pie</t>
  </si>
  <si>
    <t>https://unsplash.com/photos/brown-pie-with-sparklers-on-top-M01DfkOqz7I</t>
  </si>
  <si>
    <t>vegetables-003</t>
  </si>
  <si>
    <t>Potato</t>
  </si>
  <si>
    <t>https://unsplash.com/photos/potatoes-in-brown-on-table-ECxiHN817xE</t>
  </si>
  <si>
    <t>Breakfast</t>
  </si>
  <si>
    <t>breakfast-001</t>
  </si>
  <si>
    <t>Crepe</t>
  </si>
  <si>
    <t>https://unsplash.com/photos/_ZN5uwYZOGc</t>
  </si>
  <si>
    <t>fruit-009</t>
  </si>
  <si>
    <t>Blueberry / Blueberries</t>
  </si>
  <si>
    <t>https://unsplash.com/photos/person-showing-blueberry-lot-nKVMyxLS3ik</t>
  </si>
  <si>
    <t>fruit</t>
  </si>
  <si>
    <t>fruit-010</t>
  </si>
  <si>
    <t>https://unsplash.com/photos/closeup-photo-of-yellow-lemon-s05XKB6jK2c</t>
  </si>
  <si>
    <t>junkfood-002</t>
  </si>
  <si>
    <t>hot dogs</t>
  </si>
  <si>
    <t>https://unsplash.com/photos/a-hot-dog-with-mustard-in-a-bun-dZFWvjjo4O8</t>
  </si>
  <si>
    <t>breakfast-002</t>
  </si>
  <si>
    <t>pancakes</t>
  </si>
  <si>
    <t>https://unsplash.com/photos/blackberries-raspberries-and-blueberries-on-pancake-zt3ZqZzvEg4</t>
  </si>
  <si>
    <t>vegetables-004</t>
  </si>
  <si>
    <t>Garlic</t>
  </si>
  <si>
    <t>https://unsplash.com/photos/red-onion-photography-uTsCzWZ9aXQ</t>
  </si>
  <si>
    <t>Green Bean</t>
  </si>
  <si>
    <t>Soups &amp; Stews</t>
  </si>
  <si>
    <t>soupsstews-001</t>
  </si>
  <si>
    <t>Chili</t>
  </si>
  <si>
    <t>https://unsplash.com/photos/QYprPHMJ-ts</t>
  </si>
  <si>
    <t>Subcategory: delectable dinners</t>
  </si>
  <si>
    <t>Nuts</t>
  </si>
  <si>
    <t>nuts-001</t>
  </si>
  <si>
    <t>walnuts</t>
  </si>
  <si>
    <t>https://unsplash.com/photos/brown-nuts-IbL3Zd62Q7Q</t>
  </si>
  <si>
    <t>Subcategory: nuttiest nuts</t>
  </si>
  <si>
    <t>Baked Goods</t>
  </si>
  <si>
    <t>bakedgoods-001</t>
  </si>
  <si>
    <t>Bagel</t>
  </si>
  <si>
    <t>https://forms.gle/E6d4betsXikiMSqa8</t>
  </si>
  <si>
    <t>Testing</t>
  </si>
  <si>
    <t>Unsplash / photographer</t>
  </si>
  <si>
    <t>Single bagel on white field</t>
  </si>
  <si>
    <t>Halloween</t>
  </si>
  <si>
    <t>halloween-001</t>
  </si>
  <si>
    <t>Carved Pumpkins</t>
  </si>
  <si>
    <t>https://unsplash.com/photos/two-lighted-jack-o-lanterns-during-night-time-ed5KySP1tfQ</t>
  </si>
  <si>
    <t>halloween-002</t>
  </si>
  <si>
    <t>Skeletons</t>
  </si>
  <si>
    <t>https://unsplash.com/photos/two-skeleton-near-white-concrete-building-with-string-lights-at-daytime-A59lWOrZVnw</t>
  </si>
  <si>
    <t>halloween-003</t>
  </si>
  <si>
    <t>Cat</t>
  </si>
  <si>
    <t>https://unsplash.com/photos/silhouette-photo-of-a-cat-yP19KADwhEI</t>
  </si>
  <si>
    <t>halloween-004</t>
  </si>
  <si>
    <t>spider web</t>
  </si>
  <si>
    <t>https://unsplash.com/photos/a-close-up-of-a-spider-web-on-a-red-background-3pw2GGQSRGs</t>
  </si>
  <si>
    <t>halloween-005</t>
  </si>
  <si>
    <t>ghost</t>
  </si>
  <si>
    <t>https://unsplash.com/photos/a-ghostly-ghost-standing-in-front-of-a-building-IntKUnQT2gY</t>
  </si>
  <si>
    <t>halloween-006</t>
  </si>
  <si>
    <t>cemetary</t>
  </si>
  <si>
    <t>https://unsplash.com/photos/a-cemetery-with-carved-pumpkins-in-front-of-a-full-moon-3bECdlrGK4c</t>
  </si>
  <si>
    <t>halloween-007</t>
  </si>
  <si>
    <t>skull</t>
  </si>
  <si>
    <t>https://unsplash.com/photos/white-and-black-skull-figurine-on-black-surface-u6OnpbMuZAs</t>
  </si>
  <si>
    <t>Green Apples</t>
  </si>
  <si>
    <t>halloween-008</t>
  </si>
  <si>
    <t>mask</t>
  </si>
  <si>
    <t>https://unsplash.com/photos/person-holding-black-mask-QM_LE41VJJ4</t>
  </si>
  <si>
    <t>halloween-009</t>
  </si>
  <si>
    <t>cat</t>
  </si>
  <si>
    <t>https://unsplash.com/photos/siamese-cat-on-gray-stone-during-daytime-rgcJWAxaubg</t>
  </si>
  <si>
    <t>halloween-010</t>
  </si>
  <si>
    <t>witch</t>
  </si>
  <si>
    <t>https://unsplash.com/photos/a-woman-dressed-as-a-witch-holding-a-lantern-LmEkpZPwTv8</t>
  </si>
  <si>
    <t>halloween-011</t>
  </si>
  <si>
    <t>branches</t>
  </si>
  <si>
    <t>https://unsplash.com/photos/black-tree-branches-worms-eye-view-photo-aysHFfjCBDk</t>
  </si>
  <si>
    <t>halloween-012</t>
  </si>
  <si>
    <t>cookies</t>
  </si>
  <si>
    <t>https://unsplash.com/photos/assorted-shape-cookies-on-tray-i2aFnaZ31Cg</t>
  </si>
  <si>
    <t>halloween-013</t>
  </si>
  <si>
    <t>spider</t>
  </si>
  <si>
    <t>https://unsplash.com/photos/a-purple-background-with-a-spider-web-on-it-kHfRThQm-2k</t>
  </si>
  <si>
    <t>halloween-014</t>
  </si>
  <si>
    <t>https://unsplash.com/photos/a-close-up-of-a-person-wearing-a-costume-P0FrzZVB7DE</t>
  </si>
  <si>
    <t>halloween-015</t>
  </si>
  <si>
    <t>bat</t>
  </si>
  <si>
    <t>https://unsplash.com/photos/brown-and-black-bat-opening-mouth-IY1sRDxNWN4</t>
  </si>
  <si>
    <t>halloween-016</t>
  </si>
  <si>
    <t>candy corn</t>
  </si>
  <si>
    <t>https://unsplash.com/photos/a-pile-of-orange-and-white-candy-corn-3NTHJMeG4p8</t>
  </si>
  <si>
    <t>halloween-017</t>
  </si>
  <si>
    <t>trick or treaters</t>
  </si>
  <si>
    <t>https://unsplash.com/photos/little-kids-trick-or-treating-ArF8ZV8AeAs</t>
  </si>
  <si>
    <t>dessert</t>
  </si>
  <si>
    <t>Thanksgiving</t>
  </si>
  <si>
    <t>thanksgiving-001</t>
  </si>
  <si>
    <t>pumpkin pie</t>
  </si>
  <si>
    <t>https://unsplash.com/photos/a-slice-of-pumpkin-pie-on-a-plate-with-a-fork-DMWK0eQEGiI</t>
  </si>
  <si>
    <t>thanksgiving-002</t>
  </si>
  <si>
    <t>turkey</t>
  </si>
  <si>
    <t>https://unsplash.com/photos/brown-and-white-turkey-1dkPi4dmiw0</t>
  </si>
  <si>
    <t>Blueberry</t>
  </si>
  <si>
    <t>thanksgiving-003</t>
  </si>
  <si>
    <t>dinner table</t>
  </si>
  <si>
    <t>https://unsplash.com/photos/clear-wine-glass-on-table-zhjWBFtL2lU</t>
  </si>
  <si>
    <t>thanksgiving-004</t>
  </si>
  <si>
    <t>https://unsplash.com/photos/roasted-chicken-cgcteFH-azk</t>
  </si>
  <si>
    <t>Lemo</t>
  </si>
  <si>
    <t>thanksgiving-005</t>
  </si>
  <si>
    <t>leaves</t>
  </si>
  <si>
    <t>https://unsplash.com/photos/brown-leaf-lot-on-ground-AbPJkRExZy0</t>
  </si>
  <si>
    <t>thanksgiving-006</t>
  </si>
  <si>
    <t>apple pie</t>
  </si>
  <si>
    <t>https://unsplash.com/photos/a-close-up-of-a-pie-on-a-table-FdqwmqKudOs</t>
  </si>
  <si>
    <t>ice cream cone</t>
  </si>
  <si>
    <t>thanksgiving-007</t>
  </si>
  <si>
    <t>place setting</t>
  </si>
  <si>
    <t>https://unsplash.com/photos/white-and-blue-floral-ceramic-plate-mE3tVP0T_mk</t>
  </si>
  <si>
    <t>https://unsplash.com/photos/strawberry-ice-cream-in-conne-rUGiNjP4OX4</t>
  </si>
  <si>
    <t>thanksgiving-008</t>
  </si>
  <si>
    <t>wishbone</t>
  </si>
  <si>
    <t>https://unsplash.com/photos/brown-wooden-heart-shaped-wall-decor-6rTCFFrXGbg</t>
  </si>
  <si>
    <t>Pancakes</t>
  </si>
  <si>
    <t>thanksgiving-009</t>
  </si>
  <si>
    <t>cornucopia</t>
  </si>
  <si>
    <t>https://unsplash.com/photos/a-basket-filled-with-lots-of-different-types-of-pumpkins-tibS74o0Hxk</t>
  </si>
  <si>
    <t>thanksgiving-010</t>
  </si>
  <si>
    <t>thanksgiving</t>
  </si>
  <si>
    <t>https://unsplash.com/photos/logo-dotz7qE1fg0</t>
  </si>
  <si>
    <t>Christmas</t>
  </si>
  <si>
    <t>christmas-001</t>
  </si>
  <si>
    <t>christmas tree</t>
  </si>
  <si>
    <t>https://unsplash.com/photos/a-decorated-christmas-tree-with-ornaments-on-it-gCooCqY0t1E</t>
  </si>
  <si>
    <t>christmas-002</t>
  </si>
  <si>
    <t>candle</t>
  </si>
  <si>
    <t>https://unsplash.com/photos/red-lighted-candle-on-brown-wooden-frame-iKHXbvNHXPQ</t>
  </si>
  <si>
    <t>christmas-003</t>
  </si>
  <si>
    <t>lamp post</t>
  </si>
  <si>
    <t>https://unsplash.com/photos/red-and-black-metal-lantern-lighted-jY_fTS7ZE98</t>
  </si>
  <si>
    <t>christmas-004</t>
  </si>
  <si>
    <t>elves</t>
  </si>
  <si>
    <t>https://unsplash.com/photos/two-elf-on-the-shelf-figurines-kFbSKhukfIQ</t>
  </si>
  <si>
    <t>christmas-005</t>
  </si>
  <si>
    <t>candy canes</t>
  </si>
  <si>
    <t>https://unsplash.com/photos/a-group-of-candy-canes-laying-on-top-of-each-other-xhvA2P6guZY</t>
  </si>
  <si>
    <t>christmas-006</t>
  </si>
  <si>
    <t>star</t>
  </si>
  <si>
    <t>https://unsplash.com/photos/glowing-paper-star-in-pine-tree-inRkdZOG_zs</t>
  </si>
  <si>
    <t>christmas-007</t>
  </si>
  <si>
    <t>cocoa</t>
  </si>
  <si>
    <t>https://unsplash.com/photos/white-ceramic-mug-with-happy-new-year-print-dCFQ_KyHdTs</t>
  </si>
  <si>
    <t>christmas-008</t>
  </si>
  <si>
    <t>gift</t>
  </si>
  <si>
    <t>https://unsplash.com/photos/brown-gift-box-W7nbakRx1Ks</t>
  </si>
  <si>
    <t>christmas-009</t>
  </si>
  <si>
    <t>creche</t>
  </si>
  <si>
    <t>https://unsplash.com/photos/the-nativity-set-figurine-uPl8fJ5Ce2M</t>
  </si>
  <si>
    <t>New Years</t>
  </si>
  <si>
    <t>newyears-001</t>
  </si>
  <si>
    <t>sparklers</t>
  </si>
  <si>
    <t>https://unsplash.com/photos/a-person-is-holding-a-sparkler-in-their-hand-Os8IuLEsSJU</t>
  </si>
  <si>
    <t>newyears-002</t>
  </si>
  <si>
    <t>toast</t>
  </si>
  <si>
    <t>https://unsplash.com/photos/a-group-of-people-holding-up-wine-glasses-AuI39GyKr4E</t>
  </si>
  <si>
    <t>newyears-003</t>
  </si>
  <si>
    <t>fireworks</t>
  </si>
  <si>
    <t>https://unsplash.com/photos/a-large-fireworks-display-in-the-night-sky-g1K4f_QDXKQ</t>
  </si>
  <si>
    <t>christmas-010</t>
  </si>
  <si>
    <t>ornament</t>
  </si>
  <si>
    <t>https://unsplash.com/photos/a-close-up-of-a-christmas-ornament-on-a-tree-zuX7qrvRm8Q</t>
  </si>
  <si>
    <t>newyears-004</t>
  </si>
  <si>
    <t>happy new year</t>
  </si>
  <si>
    <t>https://unsplash.com/photos/a-sign-that-says-happy-new-year-on-it-yOUCe5Ye9FE</t>
  </si>
  <si>
    <t>newyears-005</t>
  </si>
  <si>
    <t>champagne glass</t>
  </si>
  <si>
    <t>https://unsplash.com/photos/a-glass-filled-with-liquid-next-to-christmas-ornaments-7jPeQQpTMHU</t>
  </si>
  <si>
    <t>4th of July</t>
  </si>
  <si>
    <t>4thofjuly-001</t>
  </si>
  <si>
    <t>US flag</t>
  </si>
  <si>
    <t>https://unsplash.com/photos/us-a-flag-on-flag-pole-under-cloudy-sky-during-daytime-eQ1xDfI79f0</t>
  </si>
  <si>
    <t>4thofjuly-002</t>
  </si>
  <si>
    <t>jets</t>
  </si>
  <si>
    <t>https://unsplash.com/photos/low-angle-photo-of-jetplane-contrail-airshow-OSVh2HgbaZc</t>
  </si>
  <si>
    <t>4thofjuly-003</t>
  </si>
  <si>
    <t>https://unsplash.com/photos/four-hotdogs-with-toppings-on-a-tray-e4kqQNuG2Pw</t>
  </si>
  <si>
    <t>4thofjuly-004</t>
  </si>
  <si>
    <t>Uncle Sam</t>
  </si>
  <si>
    <t>https://unsplash.com/photos/man-in-blue-white-and-red-striped-long-sleeve-shirt-standing-near-people-during-daytime-VYryi-2Y7NI</t>
  </si>
  <si>
    <t>4thofjuly-005</t>
  </si>
  <si>
    <t>https://unsplash.com/photos/time-lapse-photography-of-fireworks-W8E3QMikkAQ</t>
  </si>
  <si>
    <t>4thofjuly-006</t>
  </si>
  <si>
    <t>popsicle</t>
  </si>
  <si>
    <t>https://unsplash.com/photos/person-holding-ice-pop-uxlq0LAZCd0</t>
  </si>
  <si>
    <t>4thofjuly-007</t>
  </si>
  <si>
    <t>parade</t>
  </si>
  <si>
    <t>https://unsplash.com/photos/people-walking-on-street-during-daytime-s9qTGcEir1Q</t>
  </si>
  <si>
    <t>junkfood-003</t>
  </si>
  <si>
    <t>hamburger</t>
  </si>
  <si>
    <t>https://unsplash.com/photos/a-hamburger-sitting-on-top-of-a-table-next-to-a-cup-6Gbt_wiKKFE</t>
  </si>
  <si>
    <t>junkfood-004</t>
  </si>
  <si>
    <t>pizza</t>
  </si>
  <si>
    <t>https://unsplash.com/photos/classic-pepperoni-pizza-with-cut-slices-isolated-on-a-white-background-5B476qR_PzY</t>
  </si>
  <si>
    <t>junkfood-005</t>
  </si>
  <si>
    <t>fries</t>
  </si>
  <si>
    <t>https://unsplash.com/photos/a-pile-of-french-fries-sitting-on-top-of-a-table-VzGdnv5URPI</t>
  </si>
  <si>
    <t>zoomed in view</t>
  </si>
  <si>
    <t>cakespies-004</t>
  </si>
  <si>
    <t>birthday cake</t>
  </si>
  <si>
    <t>https://unsplash.com/photos/chocolate-birthday-cake-with-icing-roses-LRIQuZyxKRM</t>
  </si>
  <si>
    <t>cakespies-005</t>
  </si>
  <si>
    <t>chocolate cake</t>
  </si>
  <si>
    <t>https://unsplash.com/photos/sliced-chocolate-cake-beside-fork-on-plate-P_l1bJQpQF0</t>
  </si>
  <si>
    <t>vegetables-005</t>
  </si>
  <si>
    <t>broccoli</t>
  </si>
  <si>
    <t>https://unsplash.com/photos/green-and-white-flower-bouquet-4fTaeH37eH0</t>
  </si>
  <si>
    <t>vegetables-006</t>
  </si>
  <si>
    <t>green beans</t>
  </si>
  <si>
    <t>https://unsplash.com/photos/a-pile-of-green-beans-sitting-next-to-each-other-neJcXhdpipU</t>
  </si>
  <si>
    <t>soupsstews-002</t>
  </si>
  <si>
    <t>pea soup</t>
  </si>
  <si>
    <t>https://unsplash.com/photos/brown-soup-with-green-leaf-on-white-ceramic-plate-DDlhPxA1xIo</t>
  </si>
  <si>
    <t>soupsstews-003</t>
  </si>
  <si>
    <t>menudo</t>
  </si>
  <si>
    <t>https://unsplash.com/photos/a-bowl-of-soup-with-tortilla-chips-and-salsa-Wk-Kq_35Ago</t>
  </si>
  <si>
    <t>breakfast-003</t>
  </si>
  <si>
    <t>breakfast burrito</t>
  </si>
  <si>
    <t>https://unsplash.com/photos/a-plate-of-food-bmXDqfPf4Vo</t>
  </si>
  <si>
    <t>breakfast-004</t>
  </si>
  <si>
    <t>eggs benedict</t>
  </si>
  <si>
    <t>https://unsplash.com/photos/egg-omelet-on-white-ceramic-plate-yNlMPbRLBTI</t>
  </si>
  <si>
    <t>breakfast-005</t>
  </si>
  <si>
    <t>waffles</t>
  </si>
  <si>
    <t>https://unsplash.com/photos/waffle-with-syrup-XNtwi0xmZr8</t>
  </si>
  <si>
    <t>soupsstews-004</t>
  </si>
  <si>
    <t>tomato soup</t>
  </si>
  <si>
    <t>https://unsplash.com/photos/orange-soup-in-black-ceramic-bowl-xVgE_mCA8fk</t>
  </si>
  <si>
    <t>soupsstews-005</t>
  </si>
  <si>
    <t>alphabet soup</t>
  </si>
  <si>
    <t>https://unsplash.com/photos/red-and-white-ceramic-bowl-with-silver-spoon-yXiLaaYwg_E</t>
  </si>
  <si>
    <t>nuts-002</t>
  </si>
  <si>
    <t>cashews</t>
  </si>
  <si>
    <t>https://unsplash.com/photos/a-pile-of-cashews-sitting-on-top-of-a-table-Su__nb7MsEo</t>
  </si>
  <si>
    <t>nuts-003</t>
  </si>
  <si>
    <t>almonds</t>
  </si>
  <si>
    <t>https://unsplash.com/photos/a-pile-of-almonds-sitting-on-top-of-each-other-kAWWYOq1cIs</t>
  </si>
  <si>
    <t>nuts-004</t>
  </si>
  <si>
    <t>pistachios</t>
  </si>
  <si>
    <t>https://unsplash.com/photos/a-pile-of-pistachio-nuts-sitting-on-top-of-each-other-ES9YQ5HAwPI</t>
  </si>
  <si>
    <t>nuts-005</t>
  </si>
  <si>
    <t>pecans</t>
  </si>
  <si>
    <t>https://unsplash.com/photos/brown-coffee-beans-in-close-up-photography-XoCLqOlTBJs</t>
  </si>
  <si>
    <t>bakedgoods-002</t>
  </si>
  <si>
    <t>croissant</t>
  </si>
  <si>
    <t>https://unsplash.com/photos/a-croissant-sitting-on-top-of-a-white-surface-VzUE5RtCuBA</t>
  </si>
  <si>
    <t>bakedgoods-003</t>
  </si>
  <si>
    <t>bread</t>
  </si>
  <si>
    <t>https://unsplash.com/photos/white-and-gray-stone-fragments-ELWTz9cxFEo</t>
  </si>
  <si>
    <t>bakedgoods-004</t>
  </si>
  <si>
    <t>cookie</t>
  </si>
  <si>
    <t>https://unsplash.com/photos/brown-round-cookie-on-white-surface-z8kriatLFdA</t>
  </si>
  <si>
    <t>bakedgoods-005</t>
  </si>
  <si>
    <t>muffin</t>
  </si>
  <si>
    <t>https://unsplash.com/photos/baked-cupcake-on-plate-0-xIKrdFj4I</t>
  </si>
  <si>
    <t>Food &amp; Drink Logos</t>
  </si>
  <si>
    <t>fooddrinklogos-001</t>
  </si>
  <si>
    <t>McDonald's</t>
  </si>
  <si>
    <t>https://commons.wikimedia.org/wiki/Special:FilePath/McDonald%27s_SVG_logo.svg</t>
  </si>
  <si>
    <t>Wikimedia Commons</t>
  </si>
  <si>
    <t>Golden arches mark</t>
  </si>
  <si>
    <t>fooddrinklogos-002</t>
  </si>
  <si>
    <t>Coca-Cola</t>
  </si>
  <si>
    <t>https://commons.wikimedia.org/wiki/Special:FilePath/Coca-Cola_logo.svg</t>
  </si>
  <si>
    <t>Classic wordmark</t>
  </si>
  <si>
    <t>fooddrinklogos-003</t>
  </si>
  <si>
    <t>Starbucks</t>
  </si>
  <si>
    <t>https://about.starbucks.com/uploads/2019/01/Starbucks_Logo_Hi-res.jpg</t>
  </si>
  <si>
    <t>Official Starbucks media-library asset</t>
  </si>
  <si>
    <t>fooddrinklogos-004</t>
  </si>
  <si>
    <t>Taco Bell</t>
  </si>
  <si>
    <t>https://www.tacobell.com/_static/images/icons/logo-legal.svg</t>
  </si>
  <si>
    <t>Official Taco Bell site asset</t>
  </si>
  <si>
    <t>fooddrinklogos-005</t>
  </si>
  <si>
    <t>Toblerone</t>
  </si>
  <si>
    <t>https://commons.wikimedia.org/wiki/Special:FilePath/Toblerone_logo22.svg</t>
  </si>
  <si>
    <t>2022 wordmark</t>
  </si>
  <si>
    <t>Retail &amp; Shopping Logos</t>
  </si>
  <si>
    <t>retailshoppinglogos-001</t>
  </si>
  <si>
    <t>Target</t>
  </si>
  <si>
    <t>https://commons.wikimedia.org/wiki/Special:FilePath/Target_Corporation_logo.svg</t>
  </si>
  <si>
    <t>Bullseye symbol</t>
  </si>
  <si>
    <t>retailshoppinglogos-002</t>
  </si>
  <si>
    <t>Walmart</t>
  </si>
  <si>
    <t>https://commons.wikimedia.org/wiki/Special:FilePath/Walmart_logo_%282025%29.svg</t>
  </si>
  <si>
    <t>2025 logo</t>
  </si>
  <si>
    <t>retailshoppinglogos-003</t>
  </si>
  <si>
    <t>IKEA</t>
  </si>
  <si>
    <t>https://commons.wikimedia.org/wiki/Special:FilePath/Ikea_logo.svg</t>
  </si>
  <si>
    <t>Current recognizable lockup</t>
  </si>
  <si>
    <t>retailshoppinglogos-004</t>
  </si>
  <si>
    <t>Sephora</t>
  </si>
  <si>
    <t>https://commons.wikimedia.org/wiki/Special:FilePath/Sephora_logo.svg</t>
  </si>
  <si>
    <t>Wordmark</t>
  </si>
  <si>
    <t>retailshoppinglogos-005</t>
  </si>
  <si>
    <t>Uniqlo</t>
  </si>
  <si>
    <t>https://commons.wikimedia.org/wiki/Special:FilePath/UNIQLO_logo.svg</t>
  </si>
  <si>
    <t>Square red/white mark</t>
  </si>
  <si>
    <t>Tech &amp; Apps Logos</t>
  </si>
  <si>
    <t>techappslogos-001</t>
  </si>
  <si>
    <t>Apple</t>
  </si>
  <si>
    <t>https://commons.wikimedia.org/wiki/Special:FilePath/Apple_logo_black.svg</t>
  </si>
  <si>
    <t>Black Apple mark</t>
  </si>
  <si>
    <t>techappslogos-002</t>
  </si>
  <si>
    <t>YouTube</t>
  </si>
  <si>
    <t>https://commons.wikimedia.org/wiki/Special:FilePath/YouTube_Logo_2017.svg</t>
  </si>
  <si>
    <t>2017–2025 wordmark; still highly recognizable</t>
  </si>
  <si>
    <t>techappslogos-003</t>
  </si>
  <si>
    <t>Spotify</t>
  </si>
  <si>
    <t>https://commons.wikimedia.org/wiki/Special:FilePath/Spotify_2024_logo.svg</t>
  </si>
  <si>
    <t>2024 logo</t>
  </si>
  <si>
    <t>techappslogos-004</t>
  </si>
  <si>
    <t>Slack</t>
  </si>
  <si>
    <t>https://commons.wikimedia.org/wiki/Special:FilePath/Slack_Logo_Icon.svg</t>
  </si>
  <si>
    <t>Multicolor icon</t>
  </si>
  <si>
    <t>techappslogos-005</t>
  </si>
  <si>
    <t>Dropbox</t>
  </si>
  <si>
    <t>https://commons.wikimedia.org/wiki/Special:FilePath/Dropbox_logo_2017.svg</t>
  </si>
  <si>
    <t>2017 logo</t>
  </si>
  <si>
    <t>Auto &amp; Transportation Logos</t>
  </si>
  <si>
    <t>autotransportationlogos-001</t>
  </si>
  <si>
    <t>Toyota</t>
  </si>
  <si>
    <t>https://commons.wikimedia.org/wiki/Special:FilePath/Toyota_Logo.svg</t>
  </si>
  <si>
    <t>Toyota emblem</t>
  </si>
  <si>
    <t>autotransportationlogos-002</t>
  </si>
  <si>
    <t>BMW</t>
  </si>
  <si>
    <t>https://commons.wikimedia.org/wiki/Special:FilePath/BMW_logo_%28gray%29.svg</t>
  </si>
  <si>
    <t>2020+ roundel</t>
  </si>
  <si>
    <t>autotransportationlogos-003</t>
  </si>
  <si>
    <t>Tesla</t>
  </si>
  <si>
    <t>https://commons.wikimedia.org/wiki/Special:FilePath/Tesla_Motors.svg</t>
  </si>
  <si>
    <t>Tesla T mark</t>
  </si>
  <si>
    <t>autotransportationlogos-004</t>
  </si>
  <si>
    <t>Subaru</t>
  </si>
  <si>
    <t>https://commons.wikimedia.org/wiki/Special:FilePath/Subaru_logo_%28transparent%29.svg</t>
  </si>
  <si>
    <t>2019+ logo</t>
  </si>
  <si>
    <t>autotransportationlogos-005</t>
  </si>
  <si>
    <t>Peugeot</t>
  </si>
  <si>
    <t>https://commons.wikimedia.org/wiki/Special:FilePath/Wordmark_Peugeot_2021.svg</t>
  </si>
  <si>
    <t>2021 wordmark</t>
  </si>
  <si>
    <t>Entertainment &amp; Media Logos</t>
  </si>
  <si>
    <t>entertainmentmedialogos-001</t>
  </si>
  <si>
    <t>Disney</t>
  </si>
  <si>
    <t>https://commons.wikimedia.org/wiki/Special:FilePath/Disney_wordmark.svg</t>
  </si>
  <si>
    <t>Classic Disney wordmark</t>
  </si>
  <si>
    <t>entertainmentmedialogos-002</t>
  </si>
  <si>
    <t>Netflix</t>
  </si>
  <si>
    <t>https://commons.wikimedia.org/wiki/Special:FilePath/Netflix_2015_logo.svg</t>
  </si>
  <si>
    <t>Current-style Netflix wordmark</t>
  </si>
  <si>
    <t>entertainmentmedialogos-003</t>
  </si>
  <si>
    <t>Warner Bros.</t>
  </si>
  <si>
    <t>https://commons.wikimedia.org/wiki/Special:FilePath/Warner_Bros._Pictures_logo.svg</t>
  </si>
  <si>
    <t>WB shield</t>
  </si>
  <si>
    <t>entertainmentmedialogos-004</t>
  </si>
  <si>
    <t>Paramount</t>
  </si>
  <si>
    <t>https://commons.wikimedia.org/wiki/Special:FilePath/Paramount_Pictures_Logo_2025.svg</t>
  </si>
  <si>
    <t>2025 Paramount Pictures logo</t>
  </si>
  <si>
    <t>entertainmentmedialogos-005</t>
  </si>
  <si>
    <t>DreamWorks</t>
  </si>
  <si>
    <t>https://commons.wikimedia.org/wiki/Special:FilePath/DreamWorks-Logo.svg</t>
  </si>
  <si>
    <t>Moon/fishing-boy logo</t>
  </si>
  <si>
    <t>Singer / Songwriter</t>
  </si>
  <si>
    <t>singersongwriter-001</t>
  </si>
  <si>
    <t>Noah Kahan</t>
  </si>
  <si>
    <t>https://commons.wikimedia.org/wiki/Category:Noah_Kahan</t>
  </si>
  <si>
    <t>The Great Divide</t>
  </si>
  <si>
    <t>singersongwriter-002</t>
  </si>
  <si>
    <t>Lucy Dacus</t>
  </si>
  <si>
    <t>https://commons.wikimedia.org/wiki/Category:Lucy_Dacus</t>
  </si>
  <si>
    <t>Planting Tomatoes</t>
  </si>
  <si>
    <t>singersongwriter-003</t>
  </si>
  <si>
    <t>Stephen Sanchez</t>
  </si>
  <si>
    <t>https://commons.wikimedia.org/wiki/Category:Stephen_Sanchez</t>
  </si>
  <si>
    <t>Sweet Love</t>
  </si>
  <si>
    <t>singersongwriter-004</t>
  </si>
  <si>
    <t>Iron &amp; Wine</t>
  </si>
  <si>
    <t>https://commons.wikimedia.org/wiki/Category:Iron_%26_Wine</t>
  </si>
  <si>
    <t>In Your Ocean</t>
  </si>
  <si>
    <t>singersongwriter-005</t>
  </si>
  <si>
    <t>Kurt Vile</t>
  </si>
  <si>
    <t>https://commons.wikimedia.org/wiki/Category:Kurt_Vile</t>
  </si>
  <si>
    <t>Chance to Bleed</t>
  </si>
  <si>
    <t>Indie Rock</t>
  </si>
  <si>
    <t>indierock-001</t>
  </si>
  <si>
    <t>The Strokes</t>
  </si>
  <si>
    <t>https://commons.wikimedia.org/wiki/Category:The_Strokes</t>
  </si>
  <si>
    <t>Going Shopping</t>
  </si>
  <si>
    <t>indierock-002</t>
  </si>
  <si>
    <t>Death Cab for Cutie</t>
  </si>
  <si>
    <t>https://commons.wikimedia.org/wiki/Category:Death_Cab_for_Cutie</t>
  </si>
  <si>
    <t>Riptides</t>
  </si>
  <si>
    <t>indierock-003</t>
  </si>
  <si>
    <t>Metric</t>
  </si>
  <si>
    <t>https://commons.wikimedia.org/wiki/File:Emily_Haines_METRIC.jpg</t>
  </si>
  <si>
    <t>Victim of Luck</t>
  </si>
  <si>
    <t>indierock-004</t>
  </si>
  <si>
    <t>Snail Mail</t>
  </si>
  <si>
    <t>https://commons.wikimedia.org/wiki/File:Lindsay_Jordan_of_Snail_Mail_(Providence,_RI_2022).jpg</t>
  </si>
  <si>
    <t>Dead End</t>
  </si>
  <si>
    <t>indierock-005</t>
  </si>
  <si>
    <t>King Tuff</t>
  </si>
  <si>
    <t>Twisted on a Train</t>
  </si>
  <si>
    <t>Indie Pop</t>
  </si>
  <si>
    <t>indiepop-001</t>
  </si>
  <si>
    <t>Robyn</t>
  </si>
  <si>
    <t>https://commons.wikimedia.org/wiki/Category:Robyn</t>
  </si>
  <si>
    <t>Talk to Me</t>
  </si>
  <si>
    <t>indiepop-002</t>
  </si>
  <si>
    <t>Mitski</t>
  </si>
  <si>
    <t>https://commons.wikimedia.org/wiki/Category:Mitski</t>
  </si>
  <si>
    <t>Where's My Phone?</t>
  </si>
  <si>
    <t>indiepop-003</t>
  </si>
  <si>
    <t>MUNA</t>
  </si>
  <si>
    <t>https://commons.wikimedia.org/wiki/Category:Muna_(band)</t>
  </si>
  <si>
    <t>Dancing on the Wall</t>
  </si>
  <si>
    <t>indiepop-004</t>
  </si>
  <si>
    <t>Arlo Parks</t>
  </si>
  <si>
    <t>https://commons.wikimedia.org/wiki/Category:Arlo_Parks</t>
  </si>
  <si>
    <t>2SIDED</t>
  </si>
  <si>
    <t>indiepop-005</t>
  </si>
  <si>
    <t>Cannons</t>
  </si>
  <si>
    <t>https://commons.wikimedia.org/wiki/File:Michelle_joy_cannons.jpg</t>
  </si>
  <si>
    <t>Starlight</t>
  </si>
  <si>
    <t>Genre Benders</t>
  </si>
  <si>
    <t>genrebenders-001</t>
  </si>
  <si>
    <t>A$AP Rocky</t>
  </si>
  <si>
    <t>https://commons.wikimedia.org/wiki/Category:ASAP_Rocky</t>
  </si>
  <si>
    <t>Punk Rocky</t>
  </si>
  <si>
    <t>genrebenders-002</t>
  </si>
  <si>
    <t>Gorillaz</t>
  </si>
  <si>
    <t>https://commons.wikimedia.org/wiki/Category:Gorillaz</t>
  </si>
  <si>
    <t>Orange County (feat. Bizarrap, Kara Jackson and Anoushka Shankar)</t>
  </si>
  <si>
    <t>genrebenders-003</t>
  </si>
  <si>
    <t>Sampa the Great</t>
  </si>
  <si>
    <t>https://commons.wikimedia.org/wiki/Category:Sampa_the_Great</t>
  </si>
  <si>
    <t>Can't Hold Us</t>
  </si>
  <si>
    <t>genrebenders-004</t>
  </si>
  <si>
    <t>Genesis Owusu</t>
  </si>
  <si>
    <t>https://commons.wikimedia.org/wiki/Category:Genesis_Owusu</t>
  </si>
  <si>
    <t>STAMPEDE</t>
  </si>
  <si>
    <t>genrebenders-005</t>
  </si>
  <si>
    <t>Jean Dawson</t>
  </si>
  <si>
    <t>Prize Fighter</t>
  </si>
  <si>
    <t>Colorado 303</t>
  </si>
  <si>
    <t>colorado303-001</t>
  </si>
  <si>
    <t>Marfa</t>
  </si>
  <si>
    <t>https://www.cpr.org/2026/06/30/the-local-303-colorado-artists-were-featuring-for-july-2026/</t>
  </si>
  <si>
    <t>cpr.org</t>
  </si>
  <si>
    <t>Daisy</t>
  </si>
  <si>
    <t>colorado303-002</t>
  </si>
  <si>
    <t>Nina de Freitas</t>
  </si>
  <si>
    <t>Madness Everlasting</t>
  </si>
  <si>
    <t>colorado303-003</t>
  </si>
  <si>
    <t>Mlady</t>
  </si>
  <si>
    <t>https://www.cpr.org/2026/07/29/the-local-303-colorado-artists-were-featuring-for-august-2026/</t>
  </si>
  <si>
    <t>not ur girlfriend</t>
  </si>
  <si>
    <t>colorado303-004</t>
  </si>
  <si>
    <t>SLEEP CLUB</t>
  </si>
  <si>
    <t>Dweller</t>
  </si>
  <si>
    <t>colorado303-005</t>
  </si>
  <si>
    <t>Moon Hammer</t>
  </si>
  <si>
    <t>Snakey</t>
  </si>
  <si>
    <t>Punk Archaeology</t>
  </si>
  <si>
    <t>punkarchaeology-001</t>
  </si>
  <si>
    <t>Flipper</t>
  </si>
  <si>
    <t>Band / recognizable performance</t>
  </si>
  <si>
    <t>Rare 2026 Indie 102.3 appearance</t>
  </si>
  <si>
    <t>punkarchaeology-002</t>
  </si>
  <si>
    <t>FEAR</t>
  </si>
  <si>
    <t>Lee Ving / band</t>
  </si>
  <si>
    <t>punkarchaeology-003</t>
  </si>
  <si>
    <t>Excuse 17</t>
  </si>
  <si>
    <t>Band portrait</t>
  </si>
  <si>
    <t>Expert-level recognition</t>
  </si>
  <si>
    <t>punkarchaeology-004</t>
  </si>
  <si>
    <t>Dead Boys</t>
  </si>
  <si>
    <t>Stiv Bators / band</t>
  </si>
  <si>
    <t>Classic punk deep cut</t>
  </si>
  <si>
    <t>punkarchaeology-005</t>
  </si>
  <si>
    <t>Shonen Knife</t>
  </si>
  <si>
    <t>Distinctive visual identity</t>
  </si>
  <si>
    <t>Indie Time Machine</t>
  </si>
  <si>
    <t>indietimemachine-001</t>
  </si>
  <si>
    <t>Morcheeba</t>
  </si>
  <si>
    <t>Skye Edwards / band</t>
  </si>
  <si>
    <t>Recognizable catalog artist, rare this year</t>
  </si>
  <si>
    <t>indietimemachine-002</t>
  </si>
  <si>
    <t>Mirah</t>
  </si>
  <si>
    <t>Artist portrait</t>
  </si>
  <si>
    <t>indietimemachine-003</t>
  </si>
  <si>
    <t>Evan Dando</t>
  </si>
  <si>
    <t>Lemonheads connection may help players</t>
  </si>
  <si>
    <t>indietimemachine-004</t>
  </si>
  <si>
    <t>The Frames</t>
  </si>
  <si>
    <t>Band / Glen Hansard prominent</t>
  </si>
  <si>
    <t>Indie catalog challenge</t>
  </si>
  <si>
    <t>indietimemachine-005</t>
  </si>
  <si>
    <t>Teenage Fanclub &amp; De La Soul</t>
  </si>
  <si>
    <t>Both acts / collaboration-era image</t>
  </si>
  <si>
    <t>Collaboration makes this especially challenging</t>
  </si>
  <si>
    <t>Beyond the Algorithm</t>
  </si>
  <si>
    <t>beyondthealgorithm-001</t>
  </si>
  <si>
    <t>Nilüfer Yanya</t>
  </si>
  <si>
    <t>Contemporary indie deep cut</t>
  </si>
  <si>
    <t>beyondthealgorithm-002</t>
  </si>
  <si>
    <t>Kara Jackson</t>
  </si>
  <si>
    <t>Contemporary singer-songwriter</t>
  </si>
  <si>
    <t>beyondthealgorithm-003</t>
  </si>
  <si>
    <t>L'Rain</t>
  </si>
  <si>
    <t>Taja Cheek / performance</t>
  </si>
  <si>
    <t>beyondthealgorithm-004</t>
  </si>
  <si>
    <t>S.G. Goodman</t>
  </si>
  <si>
    <t>Americana/indie crossover</t>
  </si>
  <si>
    <t>beyondthealgorithm-005</t>
  </si>
  <si>
    <t>Sierra Ferrell</t>
  </si>
  <si>
    <t>Distinctive artist portrait</t>
  </si>
  <si>
    <t>Most visually recognizable in category</t>
  </si>
  <si>
    <t>Indie Cred</t>
  </si>
  <si>
    <t>indiecred-001</t>
  </si>
  <si>
    <t>Cherry Glazerr</t>
  </si>
  <si>
    <t>Clementine Creevy / band</t>
  </si>
  <si>
    <t>Accessible expert-board entry</t>
  </si>
  <si>
    <t>indiecred-002</t>
  </si>
  <si>
    <t>Priests</t>
  </si>
  <si>
    <t>Post-punk challenge</t>
  </si>
  <si>
    <t>indiecred-003</t>
  </si>
  <si>
    <t>Buck Meek</t>
  </si>
  <si>
    <t>Artist portrait / guitar</t>
  </si>
  <si>
    <t>Big Thief association may help</t>
  </si>
  <si>
    <t>indiecred-004</t>
  </si>
  <si>
    <t>Cut Worms</t>
  </si>
  <si>
    <t>Max Clarke portrait</t>
  </si>
  <si>
    <t>indiecred-005</t>
  </si>
  <si>
    <t>Weyes Blood</t>
  </si>
  <si>
    <t>Natalie Mering portrait</t>
  </si>
  <si>
    <t>Distinctive artist image</t>
  </si>
  <si>
    <t>Colorado Deep Cuts</t>
  </si>
  <si>
    <t>coloradodeepcuts-001</t>
  </si>
  <si>
    <t>Kid Astronaut</t>
  </si>
  <si>
    <t>Colorado artist</t>
  </si>
  <si>
    <t>coloradodeepcuts-002</t>
  </si>
  <si>
    <t>Five Iron Frenzy</t>
  </si>
  <si>
    <t>Full band</t>
  </si>
  <si>
    <t>Colorado band; likely easiest local recognition</t>
  </si>
  <si>
    <t>coloradodeepcuts-003</t>
  </si>
  <si>
    <t>Church Fire</t>
  </si>
  <si>
    <t>Band / performance</t>
  </si>
  <si>
    <t>Colorado expert challenge</t>
  </si>
  <si>
    <t>coloradodeepcuts-004</t>
  </si>
  <si>
    <t>Oxeye Daisy</t>
  </si>
  <si>
    <t>coloradodeepcuts-005</t>
  </si>
  <si>
    <t>Inaiah Lujan</t>
  </si>
  <si>
    <t>Colorado artist; highest spin count on board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</si>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</sst>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sz val="11.0"/>
      <color rgb="FF434343"/>
      <name val="Carlito"/>
    </font>
    <font>
      <u/>
      <sz val="11.0"/>
      <color rgb="FF0000FF"/>
      <name val="Carlito"/>
    </font>
    <font>
      <sz val="11.0"/>
      <color rgb="FF1F1F1F"/>
      <name val="Roboto"/>
    </font>
    <font>
      <u/>
      <sz val="11.0"/>
      <color rgb="FF0000FF"/>
      <name val="Carlito"/>
    </font>
    <font>
      <u/>
      <sz val="11.0"/>
      <color rgb="FF434343"/>
      <name val="Carlito"/>
    </font>
    <font>
      <u/>
      <sz val="11.0"/>
      <color rgb="FF0000FF"/>
      <name val="Carlito"/>
    </font>
    <font>
      <b/>
      <sz val="11.0"/>
      <color rgb="FF434343"/>
      <name val="Carlito"/>
    </font>
    <font>
      <sz val="11.0"/>
      <color theme="1"/>
      <name val="Carlito"/>
    </font>
    <font>
      <sz val="11.0"/>
      <color theme="1"/>
      <name val="Roboto"/>
    </font>
    <font>
      <u/>
      <sz val="11.0"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Font="1" applyNumberFormat="1"/>
    <xf borderId="0" fillId="0" fontId="2" numFmtId="1" xfId="0" applyFont="1" applyNumberFormat="1"/>
    <xf borderId="2" fillId="2" fontId="7" numFmtId="0" xfId="0" applyAlignment="1" applyBorder="1" applyFill="1" applyFont="1">
      <alignment readingOrder="0" shrinkToFit="0" vertical="center" wrapText="1"/>
    </xf>
    <xf borderId="3" fillId="2" fontId="7" numFmtId="0" xfId="0" applyAlignment="1" applyBorder="1" applyFill="1" applyFont="1">
      <alignment shrinkToFit="0" vertical="center" wrapText="1"/>
    </xf>
    <xf borderId="3" fillId="2" fontId="8" numFmtId="0" xfId="0" applyAlignment="1" applyBorder="1" applyFill="1" applyFont="1">
      <alignment readingOrder="0" shrinkToFit="0" vertical="center" wrapText="1"/>
    </xf>
    <xf borderId="3" fillId="2" fontId="7" numFmtId="0" xfId="0" applyAlignment="1" applyBorder="1" applyFill="1" applyFont="1">
      <alignment horizontal="right" shrinkToFit="0" vertical="center" wrapText="1"/>
    </xf>
    <xf borderId="0" fillId="3" fontId="9" numFmtId="0" xfId="0" applyAlignment="1" applyFill="1" applyFont="1">
      <alignment readingOrder="0" shrinkToFit="0" vertical="center" wrapText="0"/>
    </xf>
    <xf borderId="4" fillId="2" fontId="7" numFmtId="0" xfId="0" applyAlignment="1" applyBorder="1" applyFill="1" applyFont="1">
      <alignment shrinkToFit="0" vertical="center" wrapText="1"/>
    </xf>
    <xf borderId="0" fillId="2" fontId="7" numFmtId="0" xfId="0" applyAlignment="1" applyFill="1" applyFont="1">
      <alignment shrinkToFit="0" vertical="center" wrapText="1"/>
    </xf>
    <xf borderId="2" fillId="3" fontId="7" numFmtId="0" xfId="0" applyAlignment="1" applyBorder="1" applyFill="1" applyFont="1">
      <alignment shrinkToFit="0" vertical="center" wrapText="1"/>
    </xf>
    <xf borderId="3" fillId="3" fontId="7" numFmtId="0" xfId="0" applyAlignment="1" applyBorder="1" applyFill="1" applyFont="1">
      <alignment shrinkToFit="0" vertical="center" wrapText="1"/>
    </xf>
    <xf borderId="3" fillId="3" fontId="10" numFmtId="0" xfId="0" applyAlignment="1" applyBorder="1" applyFill="1" applyFont="1">
      <alignment readingOrder="0" shrinkToFit="0" vertical="center" wrapText="1"/>
    </xf>
    <xf borderId="3" fillId="3" fontId="7" numFmtId="0" xfId="0" applyAlignment="1" applyBorder="1" applyFill="1" applyFont="1">
      <alignment horizontal="right" shrinkToFit="0" vertical="center" wrapText="1"/>
    </xf>
    <xf borderId="4" fillId="3" fontId="7" numFmtId="0" xfId="0" applyAlignment="1" applyBorder="1" applyFill="1" applyFont="1">
      <alignment shrinkToFit="0" vertical="center" wrapText="1"/>
    </xf>
    <xf borderId="0" fillId="3" fontId="7" numFmtId="0" xfId="0" applyAlignment="1" applyFill="1" applyFont="1">
      <alignment shrinkToFit="0" vertical="center" wrapText="1"/>
    </xf>
    <xf borderId="2" fillId="2" fontId="7" numFmtId="0" xfId="0" applyAlignment="1" applyBorder="1" applyFill="1" applyFont="1">
      <alignment shrinkToFit="0" vertical="center" wrapText="1"/>
    </xf>
    <xf borderId="3" fillId="2" fontId="11" numFmtId="0" xfId="0" applyAlignment="1" applyBorder="1" applyFill="1" applyFont="1">
      <alignment readingOrder="0" shrinkToFit="0" vertical="center" wrapText="1"/>
    </xf>
    <xf borderId="5" fillId="2" fontId="7" numFmtId="0" xfId="0" applyAlignment="1" applyBorder="1" applyFill="1" applyFont="1">
      <alignment shrinkToFit="0" vertical="center" wrapText="1"/>
    </xf>
    <xf borderId="6" fillId="2" fontId="7" numFmtId="0" xfId="0" applyAlignment="1" applyBorder="1" applyFill="1" applyFont="1">
      <alignment shrinkToFit="0" vertical="center" wrapText="1"/>
    </xf>
    <xf borderId="6" fillId="2" fontId="12" numFmtId="0" xfId="0" applyAlignment="1" applyBorder="1" applyFill="1" applyFont="1">
      <alignment readingOrder="0" shrinkToFit="0" vertical="center" wrapText="1"/>
    </xf>
    <xf borderId="6" fillId="2" fontId="7" numFmtId="0" xfId="0" applyAlignment="1" applyBorder="1" applyFill="1" applyFont="1">
      <alignment horizontal="right" shrinkToFit="0" vertical="center" wrapText="1"/>
    </xf>
    <xf borderId="7" fillId="2" fontId="7" numFmtId="0" xfId="0" applyAlignment="1" applyBorder="1" applyFill="1" applyFon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0"/>
    </xf>
    <xf borderId="2" fillId="2" fontId="13" numFmtId="0" xfId="0" applyAlignment="1" applyBorder="1" applyFill="1" applyFont="1">
      <alignment shrinkToFit="0" vertical="center" wrapText="1"/>
    </xf>
    <xf borderId="3" fillId="2" fontId="7" numFmtId="1" xfId="0" applyAlignment="1" applyBorder="1" applyFill="1" applyFont="1" applyNumberFormat="1">
      <alignment horizontal="right" shrinkToFit="0" vertical="center" wrapText="1"/>
    </xf>
    <xf borderId="3" fillId="2" fontId="7" numFmtId="0" xfId="0" applyAlignment="1" applyBorder="1" applyFill="1" applyFont="1">
      <alignment shrinkToFit="0" vertical="center" wrapText="1"/>
    </xf>
    <xf borderId="2" fillId="3" fontId="13" numFmtId="0" xfId="0" applyAlignment="1" applyBorder="1" applyFill="1" applyFont="1">
      <alignment shrinkToFit="0" vertical="center" wrapText="1"/>
    </xf>
    <xf borderId="3" fillId="3" fontId="7" numFmtId="1" xfId="0" applyAlignment="1" applyBorder="1" applyFill="1" applyFont="1" applyNumberFormat="1">
      <alignment horizontal="right" shrinkToFit="0" vertical="center" wrapText="1"/>
    </xf>
    <xf borderId="3" fillId="3" fontId="7" numFmtId="0" xfId="0" applyAlignment="1" applyBorder="1" applyFill="1" applyFont="1">
      <alignment shrinkToFit="0" vertical="center" wrapText="1"/>
    </xf>
    <xf borderId="3" fillId="3" fontId="14" numFmtId="0" xfId="0" applyAlignment="1" applyBorder="1" applyFill="1" applyFont="1">
      <alignment shrinkToFit="0" vertical="center" wrapText="0"/>
    </xf>
    <xf borderId="0" fillId="3" fontId="15" numFmtId="0" xfId="0" applyAlignment="1" applyFill="1" applyFont="1">
      <alignment readingOrder="0" shrinkToFit="0" vertical="center" wrapText="0"/>
    </xf>
    <xf borderId="0" fillId="3" fontId="16" numFmtId="0" xfId="0" applyAlignment="1" applyFill="1" applyFont="1">
      <alignment readingOrder="0" shrinkToFit="0" vertical="center" wrapText="0"/>
    </xf>
    <xf borderId="5" fillId="2" fontId="13" numFmtId="0" xfId="0" applyAlignment="1" applyBorder="1" applyFill="1" applyFont="1">
      <alignment shrinkToFit="0" vertical="center" wrapText="1"/>
    </xf>
    <xf borderId="6" fillId="2" fontId="7" numFmtId="1" xfId="0" applyAlignment="1" applyBorder="1" applyFill="1" applyFont="1" applyNumberFormat="1">
      <alignment horizontal="right" shrinkToFit="0" vertical="center" wrapText="1"/>
    </xf>
    <xf borderId="6" fillId="2" fontId="7" numFmtId="0" xfId="0" applyAlignment="1" applyBorder="1" applyFill="1" applyFont="1">
      <alignment shrinkToFit="0" vertical="center" wrapText="1"/>
    </xf>
    <xf borderId="0" fillId="3" fontId="9" numFmtId="0" xfId="0" applyAlignment="1" applyFill="1" applyFont="1">
      <alignment readingOrder="0" shrinkToFit="0" vertical="center" wrapText="0"/>
    </xf>
    <xf borderId="0" fillId="0" fontId="14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center" wrapText="1"/>
    </xf>
    <xf borderId="0" fillId="2" fontId="14" numFmtId="0" xfId="0" applyAlignment="1" applyFill="1" applyFont="1">
      <alignment readingOrder="0" shrinkToFit="0" vertical="center" wrapText="1"/>
    </xf>
    <xf borderId="0" fillId="2" fontId="7" numFmtId="0" xfId="0" applyAlignment="1" applyFill="1" applyFont="1">
      <alignment horizontal="righ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theme="1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t Submissions - Curr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20" displayName="Form_Responses2" name="Form_Responses2" id="1">
  <tableColumns count="10">
    <tableColumn name="Timestamp" id="1"/>
    <tableColumn name="Category" id="2"/>
    <tableColumn name="Item ID" id="3"/>
    <tableColumn name="Answer" id="4"/>
    <tableColumn name="Image File / URL" id="5"/>
    <tableColumn name="Difficulty" id="6"/>
    <tableColumn name="Status" id="7"/>
    <tableColumn name="Source / License" id="8"/>
    <tableColumn name="Notes" id="9"/>
    <tableColumn name="Category Count" id="10"/>
  </tableColumns>
  <tableStyleInfo name="Content Submissions - Current-style" showColumnStripes="0" showFirstColumn="1" showLastColumn="1" showRowStripes="1"/>
</table>
</file>

<file path=xl/tables/table2.xml><?xml version="1.0" encoding="utf-8"?>
<table xmlns="http://schemas.openxmlformats.org/spreadsheetml/2006/main" ref="A1:N25" displayName="Form_Responses" name="Form_Responses" id="2">
  <tableColumns count="14">
    <tableColumn name="Timestamp" id="1"/>
    <tableColumn name="Image Title" id="2"/>
    <tableColumn name="Answer" id="3"/>
    <tableColumn name="Category" id="4"/>
    <tableColumn name="Tags" id="5"/>
    <tableColumn name="Image File / URL" id="6"/>
    <tableColumn name="License Type" id="7"/>
    <tableColumn name="Attribution Needed?" id="8"/>
    <tableColumn name="Attribution Text" id="9"/>
    <tableColumn name="Uploader Name" id="10"/>
    <tableColumn name="Notes" id="11"/>
    <tableColumn name="Difficulty" id="12"/>
    <tableColumn name="Status" id="13"/>
    <tableColumn name="Source / License" id="14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nsplash.com/photos/a-pile-of-orange-and-white-candy-corn-3NTHJMeG4p8" TargetMode="External"/><Relationship Id="rId42" Type="http://schemas.openxmlformats.org/officeDocument/2006/relationships/hyperlink" Target="https://unsplash.com/photos/a-slice-of-pumpkin-pie-on-a-plate-with-a-fork-DMWK0eQEGiI" TargetMode="External"/><Relationship Id="rId41" Type="http://schemas.openxmlformats.org/officeDocument/2006/relationships/hyperlink" Target="https://unsplash.com/photos/little-kids-trick-or-treating-ArF8ZV8AeAs" TargetMode="External"/><Relationship Id="rId44" Type="http://schemas.openxmlformats.org/officeDocument/2006/relationships/hyperlink" Target="https://unsplash.com/photos/clear-wine-glass-on-table-zhjWBFtL2lU" TargetMode="External"/><Relationship Id="rId43" Type="http://schemas.openxmlformats.org/officeDocument/2006/relationships/hyperlink" Target="https://unsplash.com/photos/brown-and-white-turkey-1dkPi4dmiw0" TargetMode="External"/><Relationship Id="rId46" Type="http://schemas.openxmlformats.org/officeDocument/2006/relationships/hyperlink" Target="https://unsplash.com/photos/brown-leaf-lot-on-ground-AbPJkRExZy0" TargetMode="External"/><Relationship Id="rId45" Type="http://schemas.openxmlformats.org/officeDocument/2006/relationships/hyperlink" Target="https://unsplash.com/photos/roasted-chicken-cgcteFH-azk" TargetMode="External"/><Relationship Id="rId107" Type="http://schemas.openxmlformats.org/officeDocument/2006/relationships/hyperlink" Target="https://commons.wikimedia.org/wiki/Special:FilePath/YouTube_Logo_2017.svg" TargetMode="External"/><Relationship Id="rId106" Type="http://schemas.openxmlformats.org/officeDocument/2006/relationships/hyperlink" Target="https://commons.wikimedia.org/wiki/Special:FilePath/Apple_logo_black.svg" TargetMode="External"/><Relationship Id="rId105" Type="http://schemas.openxmlformats.org/officeDocument/2006/relationships/hyperlink" Target="https://commons.wikimedia.org/wiki/Special:FilePath/UNIQLO_logo.svg" TargetMode="External"/><Relationship Id="rId104" Type="http://schemas.openxmlformats.org/officeDocument/2006/relationships/hyperlink" Target="https://commons.wikimedia.org/wiki/Special:FilePath/Sephora_logo.svg" TargetMode="External"/><Relationship Id="rId109" Type="http://schemas.openxmlformats.org/officeDocument/2006/relationships/hyperlink" Target="https://commons.wikimedia.org/wiki/Special:FilePath/Slack_Logo_Icon.svg" TargetMode="External"/><Relationship Id="rId108" Type="http://schemas.openxmlformats.org/officeDocument/2006/relationships/hyperlink" Target="https://commons.wikimedia.org/wiki/Special:FilePath/Spotify_2024_logo.svg" TargetMode="External"/><Relationship Id="rId48" Type="http://schemas.openxmlformats.org/officeDocument/2006/relationships/hyperlink" Target="https://unsplash.com/photos/white-and-blue-floral-ceramic-plate-mE3tVP0T_mk" TargetMode="External"/><Relationship Id="rId47" Type="http://schemas.openxmlformats.org/officeDocument/2006/relationships/hyperlink" Target="https://unsplash.com/photos/a-close-up-of-a-pie-on-a-table-FdqwmqKudOs" TargetMode="External"/><Relationship Id="rId49" Type="http://schemas.openxmlformats.org/officeDocument/2006/relationships/hyperlink" Target="https://unsplash.com/photos/brown-wooden-heart-shaped-wall-decor-6rTCFFrXGbg" TargetMode="External"/><Relationship Id="rId103" Type="http://schemas.openxmlformats.org/officeDocument/2006/relationships/hyperlink" Target="https://commons.wikimedia.org/wiki/Special:FilePath/Ikea_logo.svg" TargetMode="External"/><Relationship Id="rId102" Type="http://schemas.openxmlformats.org/officeDocument/2006/relationships/hyperlink" Target="https://commons.wikimedia.org/wiki/Special:FilePath/Walmart_logo_%282025%29.svg" TargetMode="External"/><Relationship Id="rId101" Type="http://schemas.openxmlformats.org/officeDocument/2006/relationships/hyperlink" Target="https://commons.wikimedia.org/wiki/Special:FilePath/Target_Corporation_logo.svg" TargetMode="External"/><Relationship Id="rId100" Type="http://schemas.openxmlformats.org/officeDocument/2006/relationships/hyperlink" Target="https://commons.wikimedia.org/wiki/Special:FilePath/Toblerone_logo22.svg" TargetMode="External"/><Relationship Id="rId31" Type="http://schemas.openxmlformats.org/officeDocument/2006/relationships/hyperlink" Target="https://unsplash.com/photos/white-and-black-skull-figurine-on-black-surface-u6OnpbMuZAs" TargetMode="External"/><Relationship Id="rId30" Type="http://schemas.openxmlformats.org/officeDocument/2006/relationships/hyperlink" Target="https://unsplash.com/photos/a-cemetery-with-carved-pumpkins-in-front-of-a-full-moon-3bECdlrGK4c" TargetMode="External"/><Relationship Id="rId33" Type="http://schemas.openxmlformats.org/officeDocument/2006/relationships/hyperlink" Target="https://unsplash.com/photos/siamese-cat-on-gray-stone-during-daytime-rgcJWAxaubg" TargetMode="External"/><Relationship Id="rId32" Type="http://schemas.openxmlformats.org/officeDocument/2006/relationships/hyperlink" Target="https://unsplash.com/photos/person-holding-black-mask-QM_LE41VJJ4" TargetMode="External"/><Relationship Id="rId35" Type="http://schemas.openxmlformats.org/officeDocument/2006/relationships/hyperlink" Target="https://unsplash.com/photos/black-tree-branches-worms-eye-view-photo-aysHFfjCBDk" TargetMode="External"/><Relationship Id="rId34" Type="http://schemas.openxmlformats.org/officeDocument/2006/relationships/hyperlink" Target="https://unsplash.com/photos/a-woman-dressed-as-a-witch-holding-a-lantern-LmEkpZPwTv8" TargetMode="External"/><Relationship Id="rId37" Type="http://schemas.openxmlformats.org/officeDocument/2006/relationships/hyperlink" Target="https://unsplash.com/photos/a-purple-background-with-a-spider-web-on-it-kHfRThQm-2k" TargetMode="External"/><Relationship Id="rId36" Type="http://schemas.openxmlformats.org/officeDocument/2006/relationships/hyperlink" Target="https://unsplash.com/photos/assorted-shape-cookies-on-tray-i2aFnaZ31Cg" TargetMode="External"/><Relationship Id="rId39" Type="http://schemas.openxmlformats.org/officeDocument/2006/relationships/hyperlink" Target="https://unsplash.com/photos/brown-and-black-bat-opening-mouth-IY1sRDxNWN4" TargetMode="External"/><Relationship Id="rId38" Type="http://schemas.openxmlformats.org/officeDocument/2006/relationships/hyperlink" Target="https://unsplash.com/photos/a-close-up-of-a-person-wearing-a-costume-P0FrzZVB7DE" TargetMode="External"/><Relationship Id="rId20" Type="http://schemas.openxmlformats.org/officeDocument/2006/relationships/hyperlink" Target="https://unsplash.com/photos/blackberries-raspberries-and-blueberries-on-pancake-zt3ZqZzvEg4" TargetMode="External"/><Relationship Id="rId22" Type="http://schemas.openxmlformats.org/officeDocument/2006/relationships/hyperlink" Target="https://unsplash.com/photos/QYprPHMJ-ts" TargetMode="External"/><Relationship Id="rId21" Type="http://schemas.openxmlformats.org/officeDocument/2006/relationships/hyperlink" Target="https://unsplash.com/photos/red-onion-photography-uTsCzWZ9aXQ" TargetMode="External"/><Relationship Id="rId24" Type="http://schemas.openxmlformats.org/officeDocument/2006/relationships/hyperlink" Target="https://forms.gle/E6d4betsXikiMSqa8" TargetMode="External"/><Relationship Id="rId23" Type="http://schemas.openxmlformats.org/officeDocument/2006/relationships/hyperlink" Target="https://unsplash.com/photos/brown-nuts-IbL3Zd62Q7Q" TargetMode="External"/><Relationship Id="rId129" Type="http://schemas.openxmlformats.org/officeDocument/2006/relationships/hyperlink" Target="https://commons.wikimedia.org/wiki/File:Lindsay_Jordan_of_Snail_Mail_(Providence,_RI_2022).jpg" TargetMode="External"/><Relationship Id="rId128" Type="http://schemas.openxmlformats.org/officeDocument/2006/relationships/hyperlink" Target="https://commons.wikimedia.org/wiki/File:Emily_Haines_METRIC.jpg" TargetMode="External"/><Relationship Id="rId127" Type="http://schemas.openxmlformats.org/officeDocument/2006/relationships/hyperlink" Target="https://commons.wikimedia.org/wiki/Category:Death_Cab_for_Cutie" TargetMode="External"/><Relationship Id="rId126" Type="http://schemas.openxmlformats.org/officeDocument/2006/relationships/hyperlink" Target="https://commons.wikimedia.org/wiki/Category:The_Strokes" TargetMode="External"/><Relationship Id="rId26" Type="http://schemas.openxmlformats.org/officeDocument/2006/relationships/hyperlink" Target="https://unsplash.com/photos/two-skeleton-near-white-concrete-building-with-string-lights-at-daytime-A59lWOrZVnw" TargetMode="External"/><Relationship Id="rId121" Type="http://schemas.openxmlformats.org/officeDocument/2006/relationships/hyperlink" Target="https://commons.wikimedia.org/wiki/Category:Noah_Kahan" TargetMode="External"/><Relationship Id="rId25" Type="http://schemas.openxmlformats.org/officeDocument/2006/relationships/hyperlink" Target="https://unsplash.com/photos/two-lighted-jack-o-lanterns-during-night-time-ed5KySP1tfQ" TargetMode="External"/><Relationship Id="rId120" Type="http://schemas.openxmlformats.org/officeDocument/2006/relationships/hyperlink" Target="https://commons.wikimedia.org/wiki/Special:FilePath/DreamWorks-Logo.svg" TargetMode="External"/><Relationship Id="rId28" Type="http://schemas.openxmlformats.org/officeDocument/2006/relationships/hyperlink" Target="https://unsplash.com/photos/a-close-up-of-a-spider-web-on-a-red-background-3pw2GGQSRGs" TargetMode="External"/><Relationship Id="rId27" Type="http://schemas.openxmlformats.org/officeDocument/2006/relationships/hyperlink" Target="https://unsplash.com/photos/silhouette-photo-of-a-cat-yP19KADwhEI" TargetMode="External"/><Relationship Id="rId125" Type="http://schemas.openxmlformats.org/officeDocument/2006/relationships/hyperlink" Target="https://commons.wikimedia.org/wiki/Category:Kurt_Vile" TargetMode="External"/><Relationship Id="rId29" Type="http://schemas.openxmlformats.org/officeDocument/2006/relationships/hyperlink" Target="https://unsplash.com/photos/a-ghostly-ghost-standing-in-front-of-a-building-IntKUnQT2gY" TargetMode="External"/><Relationship Id="rId124" Type="http://schemas.openxmlformats.org/officeDocument/2006/relationships/hyperlink" Target="https://commons.wikimedia.org/wiki/Category:Iron_%26_Wine" TargetMode="External"/><Relationship Id="rId123" Type="http://schemas.openxmlformats.org/officeDocument/2006/relationships/hyperlink" Target="https://commons.wikimedia.org/wiki/Category:Stephen_Sanchez" TargetMode="External"/><Relationship Id="rId122" Type="http://schemas.openxmlformats.org/officeDocument/2006/relationships/hyperlink" Target="https://commons.wikimedia.org/wiki/Category:Lucy_Dacus" TargetMode="External"/><Relationship Id="rId95" Type="http://schemas.openxmlformats.org/officeDocument/2006/relationships/hyperlink" Target="https://unsplash.com/photos/baked-cupcake-on-plate-0-xIKrdFj4I" TargetMode="External"/><Relationship Id="rId94" Type="http://schemas.openxmlformats.org/officeDocument/2006/relationships/hyperlink" Target="https://unsplash.com/photos/brown-round-cookie-on-white-surface-z8kriatLFdA" TargetMode="External"/><Relationship Id="rId97" Type="http://schemas.openxmlformats.org/officeDocument/2006/relationships/hyperlink" Target="https://commons.wikimedia.org/wiki/Special:FilePath/Coca-Cola_logo.svg" TargetMode="External"/><Relationship Id="rId96" Type="http://schemas.openxmlformats.org/officeDocument/2006/relationships/hyperlink" Target="https://commons.wikimedia.org/wiki/Special:FilePath/McDonald%27s_SVG_logo.svg" TargetMode="External"/><Relationship Id="rId11" Type="http://schemas.openxmlformats.org/officeDocument/2006/relationships/hyperlink" Target="https://unsplash.com/photos/bunch-of-green-apples-BqOTmSUQHvg" TargetMode="External"/><Relationship Id="rId99" Type="http://schemas.openxmlformats.org/officeDocument/2006/relationships/hyperlink" Target="https://www.tacobell.com/_static/images/icons/logo-legal.svg" TargetMode="External"/><Relationship Id="rId10" Type="http://schemas.openxmlformats.org/officeDocument/2006/relationships/hyperlink" Target="https://unsplash.com/photos/shallow-focus-photography-of-bowl-of-watermelon-cYZxxz4AweE" TargetMode="External"/><Relationship Id="rId98" Type="http://schemas.openxmlformats.org/officeDocument/2006/relationships/hyperlink" Target="https://about.starbucks.com/uploads/2019/01/Starbucks_Logo_Hi-res.jpg" TargetMode="External"/><Relationship Id="rId13" Type="http://schemas.openxmlformats.org/officeDocument/2006/relationships/hyperlink" Target="https://unsplash.com/photos/pink-blue-and-chocolate-with-sprinkles-doughnuts-on-table-NnTQBkBkU9g" TargetMode="External"/><Relationship Id="rId12" Type="http://schemas.openxmlformats.org/officeDocument/2006/relationships/hyperlink" Target="https://unsplash.com/photos/yellow-banana-fruit-on-yellow-surface-fS_iWTE3Umk" TargetMode="External"/><Relationship Id="rId91" Type="http://schemas.openxmlformats.org/officeDocument/2006/relationships/hyperlink" Target="https://unsplash.com/photos/brown-coffee-beans-in-close-up-photography-XoCLqOlTBJs" TargetMode="External"/><Relationship Id="rId90" Type="http://schemas.openxmlformats.org/officeDocument/2006/relationships/hyperlink" Target="https://unsplash.com/photos/a-pile-of-pistachio-nuts-sitting-on-top-of-each-other-ES9YQ5HAwPI" TargetMode="External"/><Relationship Id="rId93" Type="http://schemas.openxmlformats.org/officeDocument/2006/relationships/hyperlink" Target="https://unsplash.com/photos/white-and-gray-stone-fragments-ELWTz9cxFEo" TargetMode="External"/><Relationship Id="rId92" Type="http://schemas.openxmlformats.org/officeDocument/2006/relationships/hyperlink" Target="https://unsplash.com/photos/a-croissant-sitting-on-top-of-a-white-surface-VzUE5RtCuBA" TargetMode="External"/><Relationship Id="rId118" Type="http://schemas.openxmlformats.org/officeDocument/2006/relationships/hyperlink" Target="https://commons.wikimedia.org/wiki/Special:FilePath/Warner_Bros._Pictures_logo.svg" TargetMode="External"/><Relationship Id="rId117" Type="http://schemas.openxmlformats.org/officeDocument/2006/relationships/hyperlink" Target="https://commons.wikimedia.org/wiki/Special:FilePath/Netflix_2015_logo.svg" TargetMode="External"/><Relationship Id="rId116" Type="http://schemas.openxmlformats.org/officeDocument/2006/relationships/hyperlink" Target="https://commons.wikimedia.org/wiki/Special:FilePath/Disney_wordmark.svg" TargetMode="External"/><Relationship Id="rId115" Type="http://schemas.openxmlformats.org/officeDocument/2006/relationships/hyperlink" Target="https://commons.wikimedia.org/wiki/Special:FilePath/Wordmark_Peugeot_2021.svg" TargetMode="External"/><Relationship Id="rId119" Type="http://schemas.openxmlformats.org/officeDocument/2006/relationships/hyperlink" Target="https://commons.wikimedia.org/wiki/Special:FilePath/Paramount_Pictures_Logo_2025.svg" TargetMode="External"/><Relationship Id="rId15" Type="http://schemas.openxmlformats.org/officeDocument/2006/relationships/hyperlink" Target="https://unsplash.com/photos/potatoes-in-brown-on-table-ECxiHN817xE" TargetMode="External"/><Relationship Id="rId110" Type="http://schemas.openxmlformats.org/officeDocument/2006/relationships/hyperlink" Target="https://commons.wikimedia.org/wiki/Special:FilePath/Dropbox_logo_2017.svg" TargetMode="External"/><Relationship Id="rId14" Type="http://schemas.openxmlformats.org/officeDocument/2006/relationships/hyperlink" Target="https://unsplash.com/photos/brown-pie-with-sparklers-on-top-M01DfkOqz7I" TargetMode="External"/><Relationship Id="rId17" Type="http://schemas.openxmlformats.org/officeDocument/2006/relationships/hyperlink" Target="https://unsplash.com/photos/person-showing-blueberry-lot-nKVMyxLS3ik" TargetMode="External"/><Relationship Id="rId16" Type="http://schemas.openxmlformats.org/officeDocument/2006/relationships/hyperlink" Target="https://unsplash.com/photos/_ZN5uwYZOGc" TargetMode="External"/><Relationship Id="rId19" Type="http://schemas.openxmlformats.org/officeDocument/2006/relationships/hyperlink" Target="https://unsplash.com/photos/a-hot-dog-with-mustard-in-a-bun-dZFWvjjo4O8" TargetMode="External"/><Relationship Id="rId114" Type="http://schemas.openxmlformats.org/officeDocument/2006/relationships/hyperlink" Target="https://commons.wikimedia.org/wiki/Special:FilePath/Subaru_logo_%28transparent%29.svg" TargetMode="External"/><Relationship Id="rId18" Type="http://schemas.openxmlformats.org/officeDocument/2006/relationships/hyperlink" Target="https://unsplash.com/photos/closeup-photo-of-yellow-lemon-s05XKB6jK2c" TargetMode="External"/><Relationship Id="rId113" Type="http://schemas.openxmlformats.org/officeDocument/2006/relationships/hyperlink" Target="https://commons.wikimedia.org/wiki/Special:FilePath/Tesla_Motors.svg" TargetMode="External"/><Relationship Id="rId112" Type="http://schemas.openxmlformats.org/officeDocument/2006/relationships/hyperlink" Target="https://commons.wikimedia.org/wiki/Special:FilePath/BMW_logo_%28gray%29.svg" TargetMode="External"/><Relationship Id="rId111" Type="http://schemas.openxmlformats.org/officeDocument/2006/relationships/hyperlink" Target="https://commons.wikimedia.org/wiki/Special:FilePath/Toyota_Logo.svg" TargetMode="External"/><Relationship Id="rId84" Type="http://schemas.openxmlformats.org/officeDocument/2006/relationships/hyperlink" Target="https://unsplash.com/photos/egg-omelet-on-white-ceramic-plate-yNlMPbRLBTI" TargetMode="External"/><Relationship Id="rId83" Type="http://schemas.openxmlformats.org/officeDocument/2006/relationships/hyperlink" Target="https://unsplash.com/photos/a-plate-of-food-bmXDqfPf4Vo" TargetMode="External"/><Relationship Id="rId86" Type="http://schemas.openxmlformats.org/officeDocument/2006/relationships/hyperlink" Target="https://unsplash.com/photos/orange-soup-in-black-ceramic-bowl-xVgE_mCA8fk" TargetMode="External"/><Relationship Id="rId85" Type="http://schemas.openxmlformats.org/officeDocument/2006/relationships/hyperlink" Target="https://unsplash.com/photos/waffle-with-syrup-XNtwi0xmZr8" TargetMode="External"/><Relationship Id="rId88" Type="http://schemas.openxmlformats.org/officeDocument/2006/relationships/hyperlink" Target="https://unsplash.com/photos/a-pile-of-cashews-sitting-on-top-of-a-table-Su__nb7MsEo" TargetMode="External"/><Relationship Id="rId87" Type="http://schemas.openxmlformats.org/officeDocument/2006/relationships/hyperlink" Target="https://unsplash.com/photos/red-and-white-ceramic-bowl-with-silver-spoon-yXiLaaYwg_E" TargetMode="External"/><Relationship Id="rId89" Type="http://schemas.openxmlformats.org/officeDocument/2006/relationships/hyperlink" Target="https://unsplash.com/photos/a-pile-of-almonds-sitting-on-top-of-each-other-kAWWYOq1cIs" TargetMode="External"/><Relationship Id="rId80" Type="http://schemas.openxmlformats.org/officeDocument/2006/relationships/hyperlink" Target="https://unsplash.com/photos/a-pile-of-green-beans-sitting-next-to-each-other-neJcXhdpipU" TargetMode="External"/><Relationship Id="rId82" Type="http://schemas.openxmlformats.org/officeDocument/2006/relationships/hyperlink" Target="https://unsplash.com/photos/a-bowl-of-soup-with-tortilla-chips-and-salsa-Wk-Kq_35Ago" TargetMode="External"/><Relationship Id="rId81" Type="http://schemas.openxmlformats.org/officeDocument/2006/relationships/hyperlink" Target="https://unsplash.com/photos/brown-soup-with-green-leaf-on-white-ceramic-plate-DDlhPxA1xIo" TargetMode="External"/><Relationship Id="rId1" Type="http://schemas.openxmlformats.org/officeDocument/2006/relationships/hyperlink" Target="https://unsplash.com/photos/cupcake-with-pink-icing-on-top-zEwgRzJJIvk" TargetMode="External"/><Relationship Id="rId2" Type="http://schemas.openxmlformats.org/officeDocument/2006/relationships/hyperlink" Target="https://unsplash.com/photos/white-icing-cake-with-sliced-of-green-citrus-fruit-on-white-ceramic-plate-qE0Q1mIOqKw" TargetMode="External"/><Relationship Id="rId3" Type="http://schemas.openxmlformats.org/officeDocument/2006/relationships/hyperlink" Target="https://unsplash.com/photos/sliced-orange-fruit-on-white-background-G693X4i3F2I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unsplash.com/photos/red-round-fruit-on-white-background-KPOwqvdZ34o" TargetMode="External"/><Relationship Id="rId148" Type="http://schemas.openxmlformats.org/officeDocument/2006/relationships/hyperlink" Target="http://cpr.org/" TargetMode="External"/><Relationship Id="rId9" Type="http://schemas.openxmlformats.org/officeDocument/2006/relationships/hyperlink" Target="https://unsplash.com/photos/sliced-avocado-against-white-background--XG5adJbJRk" TargetMode="External"/><Relationship Id="rId143" Type="http://schemas.openxmlformats.org/officeDocument/2006/relationships/hyperlink" Target="https://www.cpr.org/2026/07/29/the-local-303-colorado-artists-were-featuring-for-august-2026/" TargetMode="External"/><Relationship Id="rId142" Type="http://schemas.openxmlformats.org/officeDocument/2006/relationships/hyperlink" Target="http://cpr.org/" TargetMode="External"/><Relationship Id="rId141" Type="http://schemas.openxmlformats.org/officeDocument/2006/relationships/hyperlink" Target="https://www.cpr.org/2026/06/30/the-local-303-colorado-artists-were-featuring-for-july-2026/" TargetMode="External"/><Relationship Id="rId140" Type="http://schemas.openxmlformats.org/officeDocument/2006/relationships/hyperlink" Target="http://cpr.org/" TargetMode="External"/><Relationship Id="rId5" Type="http://schemas.openxmlformats.org/officeDocument/2006/relationships/hyperlink" Target="https://unsplash.com/photos/green-cucumber-on-white-surface-UrLT3x0x9sA" TargetMode="External"/><Relationship Id="rId147" Type="http://schemas.openxmlformats.org/officeDocument/2006/relationships/hyperlink" Target="https://www.cpr.org/2026/07/29/the-local-303-colorado-artists-were-featuring-for-august-2026/" TargetMode="External"/><Relationship Id="rId6" Type="http://schemas.openxmlformats.org/officeDocument/2006/relationships/hyperlink" Target="https://unsplash.com/photos/green-chili-on-white-background-deT27osDH18" TargetMode="External"/><Relationship Id="rId146" Type="http://schemas.openxmlformats.org/officeDocument/2006/relationships/hyperlink" Target="http://cpr.org/" TargetMode="External"/><Relationship Id="rId7" Type="http://schemas.openxmlformats.org/officeDocument/2006/relationships/hyperlink" Target="https://unsplash.com/photos/red-tomatoes-on-white-surface-ND9W782cP-Q" TargetMode="External"/><Relationship Id="rId145" Type="http://schemas.openxmlformats.org/officeDocument/2006/relationships/hyperlink" Target="https://www.cpr.org/2026/07/29/the-local-303-colorado-artists-were-featuring-for-august-2026/" TargetMode="External"/><Relationship Id="rId8" Type="http://schemas.openxmlformats.org/officeDocument/2006/relationships/hyperlink" Target="https://unsplash.com/photos/brown-fruits-aMDNtd4ml9Q" TargetMode="External"/><Relationship Id="rId144" Type="http://schemas.openxmlformats.org/officeDocument/2006/relationships/hyperlink" Target="http://cpr.org/" TargetMode="External"/><Relationship Id="rId73" Type="http://schemas.openxmlformats.org/officeDocument/2006/relationships/hyperlink" Target="https://unsplash.com/photos/people-walking-on-street-during-daytime-s9qTGcEir1Q" TargetMode="External"/><Relationship Id="rId72" Type="http://schemas.openxmlformats.org/officeDocument/2006/relationships/hyperlink" Target="https://unsplash.com/photos/person-holding-ice-pop-uxlq0LAZCd0" TargetMode="External"/><Relationship Id="rId75" Type="http://schemas.openxmlformats.org/officeDocument/2006/relationships/hyperlink" Target="https://unsplash.com/photos/classic-pepperoni-pizza-with-cut-slices-isolated-on-a-white-background-5B476qR_PzY" TargetMode="External"/><Relationship Id="rId74" Type="http://schemas.openxmlformats.org/officeDocument/2006/relationships/hyperlink" Target="https://unsplash.com/photos/a-hamburger-sitting-on-top-of-a-table-next-to-a-cup-6Gbt_wiKKFE" TargetMode="External"/><Relationship Id="rId77" Type="http://schemas.openxmlformats.org/officeDocument/2006/relationships/hyperlink" Target="https://unsplash.com/photos/chocolate-birthday-cake-with-icing-roses-LRIQuZyxKRM" TargetMode="External"/><Relationship Id="rId76" Type="http://schemas.openxmlformats.org/officeDocument/2006/relationships/hyperlink" Target="https://unsplash.com/photos/a-pile-of-french-fries-sitting-on-top-of-a-table-VzGdnv5URPI" TargetMode="External"/><Relationship Id="rId79" Type="http://schemas.openxmlformats.org/officeDocument/2006/relationships/hyperlink" Target="https://unsplash.com/photos/green-and-white-flower-bouquet-4fTaeH37eH0" TargetMode="External"/><Relationship Id="rId78" Type="http://schemas.openxmlformats.org/officeDocument/2006/relationships/hyperlink" Target="https://unsplash.com/photos/sliced-chocolate-cake-beside-fork-on-plate-P_l1bJQpQF0" TargetMode="External"/><Relationship Id="rId71" Type="http://schemas.openxmlformats.org/officeDocument/2006/relationships/hyperlink" Target="https://unsplash.com/photos/time-lapse-photography-of-fireworks-W8E3QMikkAQ" TargetMode="External"/><Relationship Id="rId70" Type="http://schemas.openxmlformats.org/officeDocument/2006/relationships/hyperlink" Target="https://unsplash.com/photos/man-in-blue-white-and-red-striped-long-sleeve-shirt-standing-near-people-during-daytime-VYryi-2Y7NI" TargetMode="External"/><Relationship Id="rId139" Type="http://schemas.openxmlformats.org/officeDocument/2006/relationships/hyperlink" Target="https://www.cpr.org/2026/06/30/the-local-303-colorado-artists-were-featuring-for-july-2026/" TargetMode="External"/><Relationship Id="rId138" Type="http://schemas.openxmlformats.org/officeDocument/2006/relationships/hyperlink" Target="https://commons.wikimedia.org/wiki/Category:Genesis_Owusu" TargetMode="External"/><Relationship Id="rId137" Type="http://schemas.openxmlformats.org/officeDocument/2006/relationships/hyperlink" Target="https://commons.wikimedia.org/wiki/Category:Sampa_the_Great" TargetMode="External"/><Relationship Id="rId132" Type="http://schemas.openxmlformats.org/officeDocument/2006/relationships/hyperlink" Target="https://commons.wikimedia.org/wiki/Category:Muna_(band)" TargetMode="External"/><Relationship Id="rId131" Type="http://schemas.openxmlformats.org/officeDocument/2006/relationships/hyperlink" Target="https://commons.wikimedia.org/wiki/Category:Mitski" TargetMode="External"/><Relationship Id="rId130" Type="http://schemas.openxmlformats.org/officeDocument/2006/relationships/hyperlink" Target="https://commons.wikimedia.org/wiki/Category:Robyn" TargetMode="External"/><Relationship Id="rId136" Type="http://schemas.openxmlformats.org/officeDocument/2006/relationships/hyperlink" Target="https://commons.wikimedia.org/wiki/Category:Gorillaz" TargetMode="External"/><Relationship Id="rId135" Type="http://schemas.openxmlformats.org/officeDocument/2006/relationships/hyperlink" Target="https://commons.wikimedia.org/wiki/Category:ASAP_Rocky" TargetMode="External"/><Relationship Id="rId134" Type="http://schemas.openxmlformats.org/officeDocument/2006/relationships/hyperlink" Target="https://commons.wikimedia.org/wiki/File:Michelle_joy_cannons.jpg" TargetMode="External"/><Relationship Id="rId133" Type="http://schemas.openxmlformats.org/officeDocument/2006/relationships/hyperlink" Target="https://commons.wikimedia.org/wiki/Category:Arlo_Parks" TargetMode="External"/><Relationship Id="rId62" Type="http://schemas.openxmlformats.org/officeDocument/2006/relationships/hyperlink" Target="https://unsplash.com/photos/a-group-of-people-holding-up-wine-glasses-AuI39GyKr4E" TargetMode="External"/><Relationship Id="rId61" Type="http://schemas.openxmlformats.org/officeDocument/2006/relationships/hyperlink" Target="https://unsplash.com/photos/a-person-is-holding-a-sparkler-in-their-hand-Os8IuLEsSJU" TargetMode="External"/><Relationship Id="rId64" Type="http://schemas.openxmlformats.org/officeDocument/2006/relationships/hyperlink" Target="https://unsplash.com/photos/a-close-up-of-a-christmas-ornament-on-a-tree-zuX7qrvRm8Q" TargetMode="External"/><Relationship Id="rId63" Type="http://schemas.openxmlformats.org/officeDocument/2006/relationships/hyperlink" Target="https://unsplash.com/photos/a-large-fireworks-display-in-the-night-sky-g1K4f_QDXKQ" TargetMode="External"/><Relationship Id="rId66" Type="http://schemas.openxmlformats.org/officeDocument/2006/relationships/hyperlink" Target="https://unsplash.com/photos/a-glass-filled-with-liquid-next-to-christmas-ornaments-7jPeQQpTMHU" TargetMode="External"/><Relationship Id="rId65" Type="http://schemas.openxmlformats.org/officeDocument/2006/relationships/hyperlink" Target="https://unsplash.com/photos/a-sign-that-says-happy-new-year-on-it-yOUCe5Ye9FE" TargetMode="External"/><Relationship Id="rId68" Type="http://schemas.openxmlformats.org/officeDocument/2006/relationships/hyperlink" Target="https://unsplash.com/photos/low-angle-photo-of-jetplane-contrail-airshow-OSVh2HgbaZc" TargetMode="External"/><Relationship Id="rId67" Type="http://schemas.openxmlformats.org/officeDocument/2006/relationships/hyperlink" Target="https://unsplash.com/photos/us-a-flag-on-flag-pole-under-cloudy-sky-during-daytime-eQ1xDfI79f0" TargetMode="External"/><Relationship Id="rId60" Type="http://schemas.openxmlformats.org/officeDocument/2006/relationships/hyperlink" Target="https://unsplash.com/photos/the-nativity-set-figurine-uPl8fJ5Ce2M" TargetMode="External"/><Relationship Id="rId69" Type="http://schemas.openxmlformats.org/officeDocument/2006/relationships/hyperlink" Target="https://unsplash.com/photos/four-hotdogs-with-toppings-on-a-tray-e4kqQNuG2Pw" TargetMode="External"/><Relationship Id="rId51" Type="http://schemas.openxmlformats.org/officeDocument/2006/relationships/hyperlink" Target="https://unsplash.com/photos/logo-dotz7qE1fg0" TargetMode="External"/><Relationship Id="rId50" Type="http://schemas.openxmlformats.org/officeDocument/2006/relationships/hyperlink" Target="https://unsplash.com/photos/a-basket-filled-with-lots-of-different-types-of-pumpkins-tibS74o0Hxk" TargetMode="External"/><Relationship Id="rId53" Type="http://schemas.openxmlformats.org/officeDocument/2006/relationships/hyperlink" Target="https://unsplash.com/photos/red-lighted-candle-on-brown-wooden-frame-iKHXbvNHXPQ" TargetMode="External"/><Relationship Id="rId52" Type="http://schemas.openxmlformats.org/officeDocument/2006/relationships/hyperlink" Target="https://unsplash.com/photos/a-decorated-christmas-tree-with-ornaments-on-it-gCooCqY0t1E" TargetMode="External"/><Relationship Id="rId55" Type="http://schemas.openxmlformats.org/officeDocument/2006/relationships/hyperlink" Target="https://unsplash.com/photos/two-elf-on-the-shelf-figurines-kFbSKhukfIQ" TargetMode="External"/><Relationship Id="rId54" Type="http://schemas.openxmlformats.org/officeDocument/2006/relationships/hyperlink" Target="https://unsplash.com/photos/red-and-black-metal-lantern-lighted-jY_fTS7ZE98" TargetMode="External"/><Relationship Id="rId57" Type="http://schemas.openxmlformats.org/officeDocument/2006/relationships/hyperlink" Target="https://unsplash.com/photos/glowing-paper-star-in-pine-tree-inRkdZOG_zs" TargetMode="External"/><Relationship Id="rId56" Type="http://schemas.openxmlformats.org/officeDocument/2006/relationships/hyperlink" Target="https://unsplash.com/photos/a-group-of-candy-canes-laying-on-top-of-each-other-xhvA2P6guZY" TargetMode="External"/><Relationship Id="rId59" Type="http://schemas.openxmlformats.org/officeDocument/2006/relationships/hyperlink" Target="https://unsplash.com/photos/brown-gift-box-W7nbakRx1Ks" TargetMode="External"/><Relationship Id="rId58" Type="http://schemas.openxmlformats.org/officeDocument/2006/relationships/hyperlink" Target="https://unsplash.com/photos/white-ceramic-mug-with-happy-new-year-print-dCFQ_KyHd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splash.com/photos/a-pile-of-orange-and-white-candy-corn-3NTHJMeG4p8" TargetMode="External"/><Relationship Id="rId42" Type="http://schemas.openxmlformats.org/officeDocument/2006/relationships/hyperlink" Target="https://unsplash.com/photos/a-slice-of-pumpkin-pie-on-a-plate-with-a-fork-DMWK0eQEGiI" TargetMode="External"/><Relationship Id="rId41" Type="http://schemas.openxmlformats.org/officeDocument/2006/relationships/hyperlink" Target="https://unsplash.com/photos/little-kids-trick-or-treating-ArF8ZV8AeAs" TargetMode="External"/><Relationship Id="rId44" Type="http://schemas.openxmlformats.org/officeDocument/2006/relationships/hyperlink" Target="https://unsplash.com/photos/clear-wine-glass-on-table-zhjWBFtL2lU" TargetMode="External"/><Relationship Id="rId43" Type="http://schemas.openxmlformats.org/officeDocument/2006/relationships/hyperlink" Target="https://unsplash.com/photos/brown-and-white-turkey-1dkPi4dmiw0" TargetMode="External"/><Relationship Id="rId46" Type="http://schemas.openxmlformats.org/officeDocument/2006/relationships/hyperlink" Target="https://unsplash.com/photos/brown-leaf-lot-on-ground-AbPJkRExZy0" TargetMode="External"/><Relationship Id="rId45" Type="http://schemas.openxmlformats.org/officeDocument/2006/relationships/hyperlink" Target="https://unsplash.com/photos/roasted-chicken-cgcteFH-azk" TargetMode="External"/><Relationship Id="rId107" Type="http://schemas.openxmlformats.org/officeDocument/2006/relationships/hyperlink" Target="https://commons.wikimedia.org/wiki/Special:FilePath/YouTube_Logo_2017.svg" TargetMode="External"/><Relationship Id="rId106" Type="http://schemas.openxmlformats.org/officeDocument/2006/relationships/hyperlink" Target="https://commons.wikimedia.org/wiki/Special:FilePath/Apple_logo_black.svg" TargetMode="External"/><Relationship Id="rId105" Type="http://schemas.openxmlformats.org/officeDocument/2006/relationships/hyperlink" Target="https://commons.wikimedia.org/wiki/Special:FilePath/UNIQLO_logo.svg" TargetMode="External"/><Relationship Id="rId104" Type="http://schemas.openxmlformats.org/officeDocument/2006/relationships/hyperlink" Target="https://commons.wikimedia.org/wiki/Special:FilePath/Sephora_logo.svg" TargetMode="External"/><Relationship Id="rId109" Type="http://schemas.openxmlformats.org/officeDocument/2006/relationships/hyperlink" Target="https://commons.wikimedia.org/wiki/Special:FilePath/Toyota_Logo.svg" TargetMode="External"/><Relationship Id="rId108" Type="http://schemas.openxmlformats.org/officeDocument/2006/relationships/hyperlink" Target="https://commons.wikimedia.org/wiki/Special:FilePath/Slack_Logo_Icon.svg" TargetMode="External"/><Relationship Id="rId48" Type="http://schemas.openxmlformats.org/officeDocument/2006/relationships/hyperlink" Target="https://unsplash.com/photos/white-and-blue-floral-ceramic-plate-mE3tVP0T_mk" TargetMode="External"/><Relationship Id="rId47" Type="http://schemas.openxmlformats.org/officeDocument/2006/relationships/hyperlink" Target="https://unsplash.com/photos/a-close-up-of-a-pie-on-a-table-FdqwmqKudOs" TargetMode="External"/><Relationship Id="rId49" Type="http://schemas.openxmlformats.org/officeDocument/2006/relationships/hyperlink" Target="https://unsplash.com/photos/brown-wooden-heart-shaped-wall-decor-6rTCFFrXGbg" TargetMode="External"/><Relationship Id="rId103" Type="http://schemas.openxmlformats.org/officeDocument/2006/relationships/hyperlink" Target="https://commons.wikimedia.org/wiki/Special:FilePath/Ikea_logo.svg" TargetMode="External"/><Relationship Id="rId102" Type="http://schemas.openxmlformats.org/officeDocument/2006/relationships/hyperlink" Target="https://commons.wikimedia.org/wiki/Special:FilePath/Walmart_logo_%282025%29.svg" TargetMode="External"/><Relationship Id="rId101" Type="http://schemas.openxmlformats.org/officeDocument/2006/relationships/hyperlink" Target="https://commons.wikimedia.org/wiki/Special:FilePath/Target_Corporation_logo.svg" TargetMode="External"/><Relationship Id="rId100" Type="http://schemas.openxmlformats.org/officeDocument/2006/relationships/hyperlink" Target="https://commons.wikimedia.org/wiki/Special:FilePath/Toblerone_logo22.svg" TargetMode="External"/><Relationship Id="rId31" Type="http://schemas.openxmlformats.org/officeDocument/2006/relationships/hyperlink" Target="https://unsplash.com/photos/white-and-black-skull-figurine-on-black-surface-u6OnpbMuZAs" TargetMode="External"/><Relationship Id="rId30" Type="http://schemas.openxmlformats.org/officeDocument/2006/relationships/hyperlink" Target="https://unsplash.com/photos/a-cemetery-with-carved-pumpkins-in-front-of-a-full-moon-3bECdlrGK4c" TargetMode="External"/><Relationship Id="rId33" Type="http://schemas.openxmlformats.org/officeDocument/2006/relationships/hyperlink" Target="https://unsplash.com/photos/siamese-cat-on-gray-stone-during-daytime-rgcJWAxaubg" TargetMode="External"/><Relationship Id="rId32" Type="http://schemas.openxmlformats.org/officeDocument/2006/relationships/hyperlink" Target="https://unsplash.com/photos/person-holding-black-mask-QM_LE41VJJ4" TargetMode="External"/><Relationship Id="rId35" Type="http://schemas.openxmlformats.org/officeDocument/2006/relationships/hyperlink" Target="https://unsplash.com/photos/black-tree-branches-worms-eye-view-photo-aysHFfjCBDk" TargetMode="External"/><Relationship Id="rId34" Type="http://schemas.openxmlformats.org/officeDocument/2006/relationships/hyperlink" Target="https://unsplash.com/photos/a-woman-dressed-as-a-witch-holding-a-lantern-LmEkpZPwTv8" TargetMode="External"/><Relationship Id="rId37" Type="http://schemas.openxmlformats.org/officeDocument/2006/relationships/hyperlink" Target="https://unsplash.com/photos/a-purple-background-with-a-spider-web-on-it-kHfRThQm-2k" TargetMode="External"/><Relationship Id="rId36" Type="http://schemas.openxmlformats.org/officeDocument/2006/relationships/hyperlink" Target="https://unsplash.com/photos/assorted-shape-cookies-on-tray-i2aFnaZ31Cg" TargetMode="External"/><Relationship Id="rId39" Type="http://schemas.openxmlformats.org/officeDocument/2006/relationships/hyperlink" Target="https://unsplash.com/photos/brown-and-black-bat-opening-mouth-IY1sRDxNWN4" TargetMode="External"/><Relationship Id="rId38" Type="http://schemas.openxmlformats.org/officeDocument/2006/relationships/hyperlink" Target="https://unsplash.com/photos/a-close-up-of-a-person-wearing-a-costume-P0FrzZVB7DE" TargetMode="External"/><Relationship Id="rId20" Type="http://schemas.openxmlformats.org/officeDocument/2006/relationships/hyperlink" Target="https://unsplash.com/photos/blackberries-raspberries-and-blueberries-on-pancake-zt3ZqZzvEg4" TargetMode="External"/><Relationship Id="rId22" Type="http://schemas.openxmlformats.org/officeDocument/2006/relationships/hyperlink" Target="https://unsplash.com/photos/QYprPHMJ-ts" TargetMode="External"/><Relationship Id="rId21" Type="http://schemas.openxmlformats.org/officeDocument/2006/relationships/hyperlink" Target="https://unsplash.com/photos/red-onion-photography-uTsCzWZ9aXQ" TargetMode="External"/><Relationship Id="rId24" Type="http://schemas.openxmlformats.org/officeDocument/2006/relationships/hyperlink" Target="https://forms.gle/E6d4betsXikiMSqa8" TargetMode="External"/><Relationship Id="rId23" Type="http://schemas.openxmlformats.org/officeDocument/2006/relationships/hyperlink" Target="https://unsplash.com/photos/brown-nuts-IbL3Zd62Q7Q" TargetMode="External"/><Relationship Id="rId126" Type="http://schemas.openxmlformats.org/officeDocument/2006/relationships/table" Target="../tables/table1.xml"/><Relationship Id="rId26" Type="http://schemas.openxmlformats.org/officeDocument/2006/relationships/hyperlink" Target="https://unsplash.com/photos/two-skeleton-near-white-concrete-building-with-string-lights-at-daytime-A59lWOrZVnw" TargetMode="External"/><Relationship Id="rId121" Type="http://schemas.openxmlformats.org/officeDocument/2006/relationships/hyperlink" Target="http://cpr.org/" TargetMode="External"/><Relationship Id="rId25" Type="http://schemas.openxmlformats.org/officeDocument/2006/relationships/hyperlink" Target="https://unsplash.com/photos/two-lighted-jack-o-lanterns-during-night-time-ed5KySP1tfQ" TargetMode="External"/><Relationship Id="rId120" Type="http://schemas.openxmlformats.org/officeDocument/2006/relationships/hyperlink" Target="http://cpr.org/" TargetMode="External"/><Relationship Id="rId28" Type="http://schemas.openxmlformats.org/officeDocument/2006/relationships/hyperlink" Target="https://unsplash.com/photos/a-close-up-of-a-spider-web-on-a-red-background-3pw2GGQSRGs" TargetMode="External"/><Relationship Id="rId27" Type="http://schemas.openxmlformats.org/officeDocument/2006/relationships/hyperlink" Target="https://unsplash.com/photos/silhouette-photo-of-a-cat-yP19KADwhEI" TargetMode="External"/><Relationship Id="rId29" Type="http://schemas.openxmlformats.org/officeDocument/2006/relationships/hyperlink" Target="https://unsplash.com/photos/a-ghostly-ghost-standing-in-front-of-a-building-IntKUnQT2gY" TargetMode="External"/><Relationship Id="rId124" Type="http://schemas.openxmlformats.org/officeDocument/2006/relationships/drawing" Target="../drawings/drawing2.xml"/><Relationship Id="rId123" Type="http://schemas.openxmlformats.org/officeDocument/2006/relationships/hyperlink" Target="http://cpr.org/" TargetMode="External"/><Relationship Id="rId122" Type="http://schemas.openxmlformats.org/officeDocument/2006/relationships/hyperlink" Target="http://cpr.org/" TargetMode="External"/><Relationship Id="rId95" Type="http://schemas.openxmlformats.org/officeDocument/2006/relationships/hyperlink" Target="https://unsplash.com/photos/baked-cupcake-on-plate-0-xIKrdFj4I" TargetMode="External"/><Relationship Id="rId94" Type="http://schemas.openxmlformats.org/officeDocument/2006/relationships/hyperlink" Target="https://unsplash.com/photos/brown-round-cookie-on-white-surface-z8kriatLFdA" TargetMode="External"/><Relationship Id="rId97" Type="http://schemas.openxmlformats.org/officeDocument/2006/relationships/hyperlink" Target="https://commons.wikimedia.org/wiki/Special:FilePath/Coca-Cola_logo.svg" TargetMode="External"/><Relationship Id="rId96" Type="http://schemas.openxmlformats.org/officeDocument/2006/relationships/hyperlink" Target="https://commons.wikimedia.org/wiki/Special:FilePath/McDonald%27s_SVG_logo.svg" TargetMode="External"/><Relationship Id="rId11" Type="http://schemas.openxmlformats.org/officeDocument/2006/relationships/hyperlink" Target="https://unsplash.com/photos/bunch-of-green-apples-BqOTmSUQHvg" TargetMode="External"/><Relationship Id="rId99" Type="http://schemas.openxmlformats.org/officeDocument/2006/relationships/hyperlink" Target="https://www.tacobell.com/_static/images/icons/logo-legal.svg" TargetMode="External"/><Relationship Id="rId10" Type="http://schemas.openxmlformats.org/officeDocument/2006/relationships/hyperlink" Target="https://unsplash.com/photos/shallow-focus-photography-of-bowl-of-watermelon-cYZxxz4AweE" TargetMode="External"/><Relationship Id="rId98" Type="http://schemas.openxmlformats.org/officeDocument/2006/relationships/hyperlink" Target="https://about.starbucks.com/uploads/2019/01/Starbucks_Logo_Hi-res.jpg" TargetMode="External"/><Relationship Id="rId13" Type="http://schemas.openxmlformats.org/officeDocument/2006/relationships/hyperlink" Target="https://unsplash.com/photos/pink-blue-and-chocolate-with-sprinkles-doughnuts-on-table-NnTQBkBkU9g" TargetMode="External"/><Relationship Id="rId12" Type="http://schemas.openxmlformats.org/officeDocument/2006/relationships/hyperlink" Target="https://unsplash.com/photos/yellow-banana-fruit-on-yellow-surface-fS_iWTE3Umk" TargetMode="External"/><Relationship Id="rId91" Type="http://schemas.openxmlformats.org/officeDocument/2006/relationships/hyperlink" Target="https://unsplash.com/photos/brown-coffee-beans-in-close-up-photography-XoCLqOlTBJs" TargetMode="External"/><Relationship Id="rId90" Type="http://schemas.openxmlformats.org/officeDocument/2006/relationships/hyperlink" Target="https://unsplash.com/photos/a-pile-of-pistachio-nuts-sitting-on-top-of-each-other-ES9YQ5HAwPI" TargetMode="External"/><Relationship Id="rId93" Type="http://schemas.openxmlformats.org/officeDocument/2006/relationships/hyperlink" Target="https://unsplash.com/photos/white-and-gray-stone-fragments-ELWTz9cxFEo" TargetMode="External"/><Relationship Id="rId92" Type="http://schemas.openxmlformats.org/officeDocument/2006/relationships/hyperlink" Target="https://unsplash.com/photos/a-croissant-sitting-on-top-of-a-white-surface-VzUE5RtCuBA" TargetMode="External"/><Relationship Id="rId118" Type="http://schemas.openxmlformats.org/officeDocument/2006/relationships/hyperlink" Target="https://commons.wikimedia.org/wiki/Special:FilePath/DreamWorks-Logo.svg" TargetMode="External"/><Relationship Id="rId117" Type="http://schemas.openxmlformats.org/officeDocument/2006/relationships/hyperlink" Target="https://commons.wikimedia.org/wiki/Special:FilePath/Paramount_Pictures_Logo_2025.svg" TargetMode="External"/><Relationship Id="rId116" Type="http://schemas.openxmlformats.org/officeDocument/2006/relationships/hyperlink" Target="https://commons.wikimedia.org/wiki/Special:FilePath/Warner_Bros._Pictures_logo.svg" TargetMode="External"/><Relationship Id="rId115" Type="http://schemas.openxmlformats.org/officeDocument/2006/relationships/hyperlink" Target="https://commons.wikimedia.org/wiki/Special:FilePath/Netflix_2015_logo.svg" TargetMode="External"/><Relationship Id="rId119" Type="http://schemas.openxmlformats.org/officeDocument/2006/relationships/hyperlink" Target="http://cpr.org/" TargetMode="External"/><Relationship Id="rId15" Type="http://schemas.openxmlformats.org/officeDocument/2006/relationships/hyperlink" Target="https://unsplash.com/photos/potatoes-in-brown-on-table-ECxiHN817xE" TargetMode="External"/><Relationship Id="rId110" Type="http://schemas.openxmlformats.org/officeDocument/2006/relationships/hyperlink" Target="https://commons.wikimedia.org/wiki/Special:FilePath/BMW_logo_%28gray%29.svg" TargetMode="External"/><Relationship Id="rId14" Type="http://schemas.openxmlformats.org/officeDocument/2006/relationships/hyperlink" Target="https://unsplash.com/photos/brown-pie-with-sparklers-on-top-M01DfkOqz7I" TargetMode="External"/><Relationship Id="rId17" Type="http://schemas.openxmlformats.org/officeDocument/2006/relationships/hyperlink" Target="https://unsplash.com/photos/person-showing-blueberry-lot-nKVMyxLS3ik" TargetMode="External"/><Relationship Id="rId16" Type="http://schemas.openxmlformats.org/officeDocument/2006/relationships/hyperlink" Target="https://unsplash.com/photos/_ZN5uwYZOGc" TargetMode="External"/><Relationship Id="rId19" Type="http://schemas.openxmlformats.org/officeDocument/2006/relationships/hyperlink" Target="https://unsplash.com/photos/a-hot-dog-with-mustard-in-a-bun-dZFWvjjo4O8" TargetMode="External"/><Relationship Id="rId114" Type="http://schemas.openxmlformats.org/officeDocument/2006/relationships/hyperlink" Target="https://commons.wikimedia.org/wiki/Special:FilePath/Disney_wordmark.svg" TargetMode="External"/><Relationship Id="rId18" Type="http://schemas.openxmlformats.org/officeDocument/2006/relationships/hyperlink" Target="https://unsplash.com/photos/closeup-photo-of-yellow-lemon-s05XKB6jK2c" TargetMode="External"/><Relationship Id="rId113" Type="http://schemas.openxmlformats.org/officeDocument/2006/relationships/hyperlink" Target="https://commons.wikimedia.org/wiki/Special:FilePath/Wordmark_Peugeot_2021.svg" TargetMode="External"/><Relationship Id="rId112" Type="http://schemas.openxmlformats.org/officeDocument/2006/relationships/hyperlink" Target="https://commons.wikimedia.org/wiki/Special:FilePath/Subaru_logo_%28transparent%29.svg" TargetMode="External"/><Relationship Id="rId111" Type="http://schemas.openxmlformats.org/officeDocument/2006/relationships/hyperlink" Target="https://commons.wikimedia.org/wiki/Special:FilePath/Tesla_Motors.svg" TargetMode="External"/><Relationship Id="rId84" Type="http://schemas.openxmlformats.org/officeDocument/2006/relationships/hyperlink" Target="https://unsplash.com/photos/egg-omelet-on-white-ceramic-plate-yNlMPbRLBTI" TargetMode="External"/><Relationship Id="rId83" Type="http://schemas.openxmlformats.org/officeDocument/2006/relationships/hyperlink" Target="https://unsplash.com/photos/a-plate-of-food-bmXDqfPf4Vo" TargetMode="External"/><Relationship Id="rId86" Type="http://schemas.openxmlformats.org/officeDocument/2006/relationships/hyperlink" Target="https://unsplash.com/photos/orange-soup-in-black-ceramic-bowl-xVgE_mCA8fk" TargetMode="External"/><Relationship Id="rId85" Type="http://schemas.openxmlformats.org/officeDocument/2006/relationships/hyperlink" Target="https://unsplash.com/photos/waffle-with-syrup-XNtwi0xmZr8" TargetMode="External"/><Relationship Id="rId88" Type="http://schemas.openxmlformats.org/officeDocument/2006/relationships/hyperlink" Target="https://unsplash.com/photos/a-pile-of-cashews-sitting-on-top-of-a-table-Su__nb7MsEo" TargetMode="External"/><Relationship Id="rId87" Type="http://schemas.openxmlformats.org/officeDocument/2006/relationships/hyperlink" Target="https://unsplash.com/photos/red-and-white-ceramic-bowl-with-silver-spoon-yXiLaaYwg_E" TargetMode="External"/><Relationship Id="rId89" Type="http://schemas.openxmlformats.org/officeDocument/2006/relationships/hyperlink" Target="https://unsplash.com/photos/a-pile-of-almonds-sitting-on-top-of-each-other-kAWWYOq1cIs" TargetMode="External"/><Relationship Id="rId80" Type="http://schemas.openxmlformats.org/officeDocument/2006/relationships/hyperlink" Target="https://unsplash.com/photos/a-pile-of-green-beans-sitting-next-to-each-other-neJcXhdpipU" TargetMode="External"/><Relationship Id="rId82" Type="http://schemas.openxmlformats.org/officeDocument/2006/relationships/hyperlink" Target="https://unsplash.com/photos/a-bowl-of-soup-with-tortilla-chips-and-salsa-Wk-Kq_35Ago" TargetMode="External"/><Relationship Id="rId81" Type="http://schemas.openxmlformats.org/officeDocument/2006/relationships/hyperlink" Target="https://unsplash.com/photos/brown-soup-with-green-leaf-on-white-ceramic-plate-DDlhPxA1xIo" TargetMode="External"/><Relationship Id="rId1" Type="http://schemas.openxmlformats.org/officeDocument/2006/relationships/hyperlink" Target="https://unsplash.com/photos/cupcake-with-pink-icing-on-top-zEwgRzJJIvk" TargetMode="External"/><Relationship Id="rId2" Type="http://schemas.openxmlformats.org/officeDocument/2006/relationships/hyperlink" Target="https://unsplash.com/photos/white-icing-cake-with-sliced-of-green-citrus-fruit-on-white-ceramic-plate-qE0Q1mIOqKw" TargetMode="External"/><Relationship Id="rId3" Type="http://schemas.openxmlformats.org/officeDocument/2006/relationships/hyperlink" Target="https://unsplash.com/photos/sliced-orange-fruit-on-white-background-G693X4i3F2I" TargetMode="External"/><Relationship Id="rId4" Type="http://schemas.openxmlformats.org/officeDocument/2006/relationships/hyperlink" Target="https://unsplash.com/photos/red-round-fruit-on-white-background-KPOwqvdZ34o" TargetMode="External"/><Relationship Id="rId9" Type="http://schemas.openxmlformats.org/officeDocument/2006/relationships/hyperlink" Target="https://unsplash.com/photos/sliced-avocado-against-white-background--XG5adJbJRk" TargetMode="External"/><Relationship Id="rId5" Type="http://schemas.openxmlformats.org/officeDocument/2006/relationships/hyperlink" Target="https://unsplash.com/photos/green-cucumber-on-white-surface-UrLT3x0x9sA" TargetMode="External"/><Relationship Id="rId6" Type="http://schemas.openxmlformats.org/officeDocument/2006/relationships/hyperlink" Target="https://unsplash.com/photos/green-chili-on-white-background-deT27osDH18" TargetMode="External"/><Relationship Id="rId7" Type="http://schemas.openxmlformats.org/officeDocument/2006/relationships/hyperlink" Target="https://unsplash.com/photos/red-tomatoes-on-white-surface-ND9W782cP-Q" TargetMode="External"/><Relationship Id="rId8" Type="http://schemas.openxmlformats.org/officeDocument/2006/relationships/hyperlink" Target="https://unsplash.com/photos/brown-fruits-aMDNtd4ml9Q" TargetMode="External"/><Relationship Id="rId73" Type="http://schemas.openxmlformats.org/officeDocument/2006/relationships/hyperlink" Target="https://unsplash.com/photos/people-walking-on-street-during-daytime-s9qTGcEir1Q" TargetMode="External"/><Relationship Id="rId72" Type="http://schemas.openxmlformats.org/officeDocument/2006/relationships/hyperlink" Target="https://unsplash.com/photos/person-holding-ice-pop-uxlq0LAZCd0" TargetMode="External"/><Relationship Id="rId75" Type="http://schemas.openxmlformats.org/officeDocument/2006/relationships/hyperlink" Target="https://unsplash.com/photos/classic-pepperoni-pizza-with-cut-slices-isolated-on-a-white-background-5B476qR_PzY" TargetMode="External"/><Relationship Id="rId74" Type="http://schemas.openxmlformats.org/officeDocument/2006/relationships/hyperlink" Target="https://unsplash.com/photos/a-hamburger-sitting-on-top-of-a-table-next-to-a-cup-6Gbt_wiKKFE" TargetMode="External"/><Relationship Id="rId77" Type="http://schemas.openxmlformats.org/officeDocument/2006/relationships/hyperlink" Target="https://unsplash.com/photos/chocolate-birthday-cake-with-icing-roses-LRIQuZyxKRM" TargetMode="External"/><Relationship Id="rId76" Type="http://schemas.openxmlformats.org/officeDocument/2006/relationships/hyperlink" Target="https://unsplash.com/photos/a-pile-of-french-fries-sitting-on-top-of-a-table-VzGdnv5URPI" TargetMode="External"/><Relationship Id="rId79" Type="http://schemas.openxmlformats.org/officeDocument/2006/relationships/hyperlink" Target="https://unsplash.com/photos/green-and-white-flower-bouquet-4fTaeH37eH0" TargetMode="External"/><Relationship Id="rId78" Type="http://schemas.openxmlformats.org/officeDocument/2006/relationships/hyperlink" Target="https://unsplash.com/photos/sliced-chocolate-cake-beside-fork-on-plate-P_l1bJQpQF0" TargetMode="External"/><Relationship Id="rId71" Type="http://schemas.openxmlformats.org/officeDocument/2006/relationships/hyperlink" Target="https://unsplash.com/photos/time-lapse-photography-of-fireworks-W8E3QMikkAQ" TargetMode="External"/><Relationship Id="rId70" Type="http://schemas.openxmlformats.org/officeDocument/2006/relationships/hyperlink" Target="https://unsplash.com/photos/man-in-blue-white-and-red-striped-long-sleeve-shirt-standing-near-people-during-daytime-VYryi-2Y7NI" TargetMode="External"/><Relationship Id="rId62" Type="http://schemas.openxmlformats.org/officeDocument/2006/relationships/hyperlink" Target="https://unsplash.com/photos/a-group-of-people-holding-up-wine-glasses-AuI39GyKr4E" TargetMode="External"/><Relationship Id="rId61" Type="http://schemas.openxmlformats.org/officeDocument/2006/relationships/hyperlink" Target="https://unsplash.com/photos/a-person-is-holding-a-sparkler-in-their-hand-Os8IuLEsSJU" TargetMode="External"/><Relationship Id="rId64" Type="http://schemas.openxmlformats.org/officeDocument/2006/relationships/hyperlink" Target="https://unsplash.com/photos/a-close-up-of-a-christmas-ornament-on-a-tree-zuX7qrvRm8Q" TargetMode="External"/><Relationship Id="rId63" Type="http://schemas.openxmlformats.org/officeDocument/2006/relationships/hyperlink" Target="https://unsplash.com/photos/a-large-fireworks-display-in-the-night-sky-g1K4f_QDXKQ" TargetMode="External"/><Relationship Id="rId66" Type="http://schemas.openxmlformats.org/officeDocument/2006/relationships/hyperlink" Target="https://unsplash.com/photos/a-glass-filled-with-liquid-next-to-christmas-ornaments-7jPeQQpTMHU" TargetMode="External"/><Relationship Id="rId65" Type="http://schemas.openxmlformats.org/officeDocument/2006/relationships/hyperlink" Target="https://unsplash.com/photos/a-sign-that-says-happy-new-year-on-it-yOUCe5Ye9FE" TargetMode="External"/><Relationship Id="rId68" Type="http://schemas.openxmlformats.org/officeDocument/2006/relationships/hyperlink" Target="https://unsplash.com/photos/low-angle-photo-of-jetplane-contrail-airshow-OSVh2HgbaZc" TargetMode="External"/><Relationship Id="rId67" Type="http://schemas.openxmlformats.org/officeDocument/2006/relationships/hyperlink" Target="https://unsplash.com/photos/us-a-flag-on-flag-pole-under-cloudy-sky-during-daytime-eQ1xDfI79f0" TargetMode="External"/><Relationship Id="rId60" Type="http://schemas.openxmlformats.org/officeDocument/2006/relationships/hyperlink" Target="https://unsplash.com/photos/the-nativity-set-figurine-uPl8fJ5Ce2M" TargetMode="External"/><Relationship Id="rId69" Type="http://schemas.openxmlformats.org/officeDocument/2006/relationships/hyperlink" Target="https://unsplash.com/photos/four-hotdogs-with-toppings-on-a-tray-e4kqQNuG2Pw" TargetMode="External"/><Relationship Id="rId51" Type="http://schemas.openxmlformats.org/officeDocument/2006/relationships/hyperlink" Target="https://unsplash.com/photos/logo-dotz7qE1fg0" TargetMode="External"/><Relationship Id="rId50" Type="http://schemas.openxmlformats.org/officeDocument/2006/relationships/hyperlink" Target="https://unsplash.com/photos/a-basket-filled-with-lots-of-different-types-of-pumpkins-tibS74o0Hxk" TargetMode="External"/><Relationship Id="rId53" Type="http://schemas.openxmlformats.org/officeDocument/2006/relationships/hyperlink" Target="https://unsplash.com/photos/red-lighted-candle-on-brown-wooden-frame-iKHXbvNHXPQ" TargetMode="External"/><Relationship Id="rId52" Type="http://schemas.openxmlformats.org/officeDocument/2006/relationships/hyperlink" Target="https://unsplash.com/photos/a-decorated-christmas-tree-with-ornaments-on-it-gCooCqY0t1E" TargetMode="External"/><Relationship Id="rId55" Type="http://schemas.openxmlformats.org/officeDocument/2006/relationships/hyperlink" Target="https://unsplash.com/photos/two-elf-on-the-shelf-figurines-kFbSKhukfIQ" TargetMode="External"/><Relationship Id="rId54" Type="http://schemas.openxmlformats.org/officeDocument/2006/relationships/hyperlink" Target="https://unsplash.com/photos/red-and-black-metal-lantern-lighted-jY_fTS7ZE98" TargetMode="External"/><Relationship Id="rId57" Type="http://schemas.openxmlformats.org/officeDocument/2006/relationships/hyperlink" Target="https://unsplash.com/photos/glowing-paper-star-in-pine-tree-inRkdZOG_zs" TargetMode="External"/><Relationship Id="rId56" Type="http://schemas.openxmlformats.org/officeDocument/2006/relationships/hyperlink" Target="https://unsplash.com/photos/a-group-of-candy-canes-laying-on-top-of-each-other-xhvA2P6guZY" TargetMode="External"/><Relationship Id="rId59" Type="http://schemas.openxmlformats.org/officeDocument/2006/relationships/hyperlink" Target="https://unsplash.com/photos/brown-gift-box-W7nbakRx1Ks" TargetMode="External"/><Relationship Id="rId58" Type="http://schemas.openxmlformats.org/officeDocument/2006/relationships/hyperlink" Target="https://unsplash.com/photos/white-ceramic-mug-with-happy-new-year-print-dCFQ_KyHdT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unsplash.com/photos/strawberry-ice-cream-in-conne-rUGiNjP4OX4" TargetMode="External"/><Relationship Id="rId22" Type="http://schemas.openxmlformats.org/officeDocument/2006/relationships/hyperlink" Target="https://unsplash.com/photos/red-onion-photography-uTsCzWZ9aXQ" TargetMode="External"/><Relationship Id="rId21" Type="http://schemas.openxmlformats.org/officeDocument/2006/relationships/hyperlink" Target="https://unsplash.com/photos/blackberries-raspberries-and-blueberries-on-pancake-zt3ZqZzvEg4" TargetMode="External"/><Relationship Id="rId24" Type="http://schemas.openxmlformats.org/officeDocument/2006/relationships/hyperlink" Target="https://unsplash.com/photos/brown-nuts-IbL3Zd62Q7Q" TargetMode="External"/><Relationship Id="rId23" Type="http://schemas.openxmlformats.org/officeDocument/2006/relationships/hyperlink" Target="https://unsplash.com/photos/QYprPHMJ-ts" TargetMode="External"/><Relationship Id="rId25" Type="http://schemas.openxmlformats.org/officeDocument/2006/relationships/drawing" Target="../drawings/drawing3.xml"/><Relationship Id="rId27" Type="http://schemas.openxmlformats.org/officeDocument/2006/relationships/table" Target="../tables/table2.xml"/><Relationship Id="rId11" Type="http://schemas.openxmlformats.org/officeDocument/2006/relationships/hyperlink" Target="https://unsplash.com/photos/shallow-focus-photography-of-bowl-of-watermelon-cYZxxz4AweE" TargetMode="External"/><Relationship Id="rId10" Type="http://schemas.openxmlformats.org/officeDocument/2006/relationships/hyperlink" Target="https://unsplash.com/photos/sliced-avocado-against-white-background--XG5adJbJRk" TargetMode="External"/><Relationship Id="rId13" Type="http://schemas.openxmlformats.org/officeDocument/2006/relationships/hyperlink" Target="https://unsplash.com/photos/yellow-banana-fruit-on-yellow-surface-fS_iWTE3Umk" TargetMode="External"/><Relationship Id="rId12" Type="http://schemas.openxmlformats.org/officeDocument/2006/relationships/hyperlink" Target="https://unsplash.com/photos/bunch-of-green-apples-BqOTmSUQHvg" TargetMode="External"/><Relationship Id="rId15" Type="http://schemas.openxmlformats.org/officeDocument/2006/relationships/hyperlink" Target="https://unsplash.com/photos/brown-pie-with-sparklers-on-top-M01DfkOqz7I" TargetMode="External"/><Relationship Id="rId14" Type="http://schemas.openxmlformats.org/officeDocument/2006/relationships/hyperlink" Target="https://unsplash.com/photos/pink-blue-and-chocolate-with-sprinkles-doughnuts-on-table-NnTQBkBkU9g" TargetMode="External"/><Relationship Id="rId17" Type="http://schemas.openxmlformats.org/officeDocument/2006/relationships/hyperlink" Target="https://unsplash.com/photos/_ZN5uwYZOGc" TargetMode="External"/><Relationship Id="rId16" Type="http://schemas.openxmlformats.org/officeDocument/2006/relationships/hyperlink" Target="https://unsplash.com/photos/potatoes-in-brown-on-table-ECxiHN817xE" TargetMode="External"/><Relationship Id="rId19" Type="http://schemas.openxmlformats.org/officeDocument/2006/relationships/hyperlink" Target="https://unsplash.com/photos/closeup-photo-of-yellow-lemon-s05XKB6jK2c" TargetMode="External"/><Relationship Id="rId18" Type="http://schemas.openxmlformats.org/officeDocument/2006/relationships/hyperlink" Target="https://unsplash.com/photos/person-showing-blueberry-lot-nKVMyxLS3ik" TargetMode="External"/><Relationship Id="rId1" Type="http://schemas.openxmlformats.org/officeDocument/2006/relationships/hyperlink" Target="https://unsplash.com/photos/pizza-on-chopping-board-MqT0asuoIcU" TargetMode="External"/><Relationship Id="rId2" Type="http://schemas.openxmlformats.org/officeDocument/2006/relationships/hyperlink" Target="https://unsplash.com/photos/cupcake-with-pink-icing-on-top-zEwgRzJJIvk" TargetMode="External"/><Relationship Id="rId3" Type="http://schemas.openxmlformats.org/officeDocument/2006/relationships/hyperlink" Target="https://unsplash.com/photos/white-icing-cake-with-sliced-of-green-citrus-fruit-on-white-ceramic-plate-qE0Q1mIOqKw" TargetMode="External"/><Relationship Id="rId4" Type="http://schemas.openxmlformats.org/officeDocument/2006/relationships/hyperlink" Target="https://unsplash.com/photos/sliced-orange-fruit-on-white-background-G693X4i3F2I" TargetMode="External"/><Relationship Id="rId9" Type="http://schemas.openxmlformats.org/officeDocument/2006/relationships/hyperlink" Target="https://unsplash.com/photos/brown-fruits-aMDNtd4ml9Q" TargetMode="External"/><Relationship Id="rId5" Type="http://schemas.openxmlformats.org/officeDocument/2006/relationships/hyperlink" Target="https://unsplash.com/photos/red-round-fruit-on-white-background-KPOwqvdZ34o" TargetMode="External"/><Relationship Id="rId6" Type="http://schemas.openxmlformats.org/officeDocument/2006/relationships/hyperlink" Target="https://unsplash.com/photos/green-cucumber-on-white-surface-UrLT3x0x9sA" TargetMode="External"/><Relationship Id="rId7" Type="http://schemas.openxmlformats.org/officeDocument/2006/relationships/hyperlink" Target="https://unsplash.com/photos/green-chili-on-white-background-deT27osDH18" TargetMode="External"/><Relationship Id="rId8" Type="http://schemas.openxmlformats.org/officeDocument/2006/relationships/hyperlink" Target="https://unsplash.com/photos/red-tomatoes-on-white-surface-ND9W782cP-Q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14"/>
    <col customWidth="1" min="3" max="3" width="15.57"/>
    <col customWidth="1" min="4" max="4" width="20.86"/>
    <col customWidth="1" min="5" max="5" width="102.0"/>
    <col customWidth="1" min="6" max="6" width="8.71"/>
    <col customWidth="1" min="7" max="7" width="7.14"/>
    <col customWidth="1" min="8" max="8" width="22.43"/>
    <col customWidth="1" min="9" max="9" width="28.29"/>
  </cols>
  <sheetData>
    <row r="1">
      <c r="A1" s="2" t="str">
        <f t="array" ref="A1:I1120">'Content Submissions - Current'!A:I</f>
        <v>Timestamp</v>
      </c>
      <c r="B1" s="2" t="s">
        <v>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10</v>
      </c>
      <c r="H1" s="2" t="s">
        <v>17</v>
      </c>
      <c r="I1" s="2" t="s">
        <v>11</v>
      </c>
    </row>
    <row r="2">
      <c r="A2" s="5">
        <v>45869.823140775465</v>
      </c>
      <c r="B2" s="2" t="s">
        <v>18</v>
      </c>
      <c r="C2" s="2" t="s">
        <v>19</v>
      </c>
      <c r="D2" s="2" t="s">
        <v>20</v>
      </c>
      <c r="E2" s="7" t="s">
        <v>21</v>
      </c>
      <c r="F2" s="2"/>
      <c r="G2" s="2"/>
      <c r="H2" s="2"/>
      <c r="I2" s="2" t="s">
        <v>23</v>
      </c>
    </row>
    <row r="3">
      <c r="A3" s="5">
        <v>45869.824914490746</v>
      </c>
      <c r="B3" s="2" t="s">
        <v>18</v>
      </c>
      <c r="C3" s="2" t="s">
        <v>24</v>
      </c>
      <c r="D3" s="2" t="s">
        <v>25</v>
      </c>
      <c r="E3" s="7" t="s">
        <v>26</v>
      </c>
      <c r="F3" s="2"/>
      <c r="G3" s="2"/>
      <c r="H3" s="2"/>
      <c r="I3" s="2"/>
    </row>
    <row r="4">
      <c r="A4" s="5">
        <v>45869.826226793986</v>
      </c>
      <c r="B4" s="2" t="s">
        <v>29</v>
      </c>
      <c r="C4" s="2" t="s">
        <v>30</v>
      </c>
      <c r="D4" s="2" t="s">
        <v>31</v>
      </c>
      <c r="E4" s="7" t="s">
        <v>32</v>
      </c>
      <c r="F4" s="2"/>
      <c r="G4" s="2"/>
      <c r="H4" s="2"/>
      <c r="I4" s="2" t="s">
        <v>36</v>
      </c>
    </row>
    <row r="5">
      <c r="A5" s="5">
        <v>45869.827065335645</v>
      </c>
      <c r="B5" s="2" t="s">
        <v>29</v>
      </c>
      <c r="C5" s="2" t="s">
        <v>37</v>
      </c>
      <c r="D5" s="2" t="s">
        <v>38</v>
      </c>
      <c r="E5" s="7" t="s">
        <v>39</v>
      </c>
      <c r="F5" s="2"/>
      <c r="G5" s="2"/>
      <c r="H5" s="2"/>
      <c r="I5" s="2"/>
    </row>
    <row r="6">
      <c r="A6" s="5">
        <v>45869.82815883102</v>
      </c>
      <c r="B6" s="2" t="s">
        <v>40</v>
      </c>
      <c r="C6" s="2" t="s">
        <v>41</v>
      </c>
      <c r="D6" s="2" t="s">
        <v>42</v>
      </c>
      <c r="E6" s="7" t="s">
        <v>43</v>
      </c>
      <c r="F6" s="2"/>
      <c r="G6" s="2"/>
      <c r="H6" s="2"/>
      <c r="I6" s="2"/>
    </row>
    <row r="7">
      <c r="A7" s="5">
        <v>45869.829103298616</v>
      </c>
      <c r="B7" s="2" t="s">
        <v>40</v>
      </c>
      <c r="C7" s="2" t="s">
        <v>46</v>
      </c>
      <c r="D7" s="2" t="s">
        <v>47</v>
      </c>
      <c r="E7" s="7" t="s">
        <v>48</v>
      </c>
      <c r="F7" s="2"/>
      <c r="G7" s="2"/>
      <c r="H7" s="2"/>
      <c r="I7" s="2"/>
    </row>
    <row r="8">
      <c r="A8" s="5">
        <v>45869.83008886574</v>
      </c>
      <c r="B8" s="2" t="s">
        <v>29</v>
      </c>
      <c r="C8" s="2" t="s">
        <v>56</v>
      </c>
      <c r="D8" s="2" t="s">
        <v>57</v>
      </c>
      <c r="E8" s="7" t="s">
        <v>59</v>
      </c>
      <c r="F8" s="2"/>
      <c r="G8" s="2"/>
      <c r="H8" s="2"/>
      <c r="I8" s="2"/>
    </row>
    <row r="9">
      <c r="A9" s="5">
        <v>45869.83091939815</v>
      </c>
      <c r="B9" s="2" t="s">
        <v>29</v>
      </c>
      <c r="C9" s="2" t="s">
        <v>60</v>
      </c>
      <c r="D9" s="2" t="s">
        <v>61</v>
      </c>
      <c r="E9" s="7" t="s">
        <v>62</v>
      </c>
      <c r="F9" s="2"/>
      <c r="G9" s="2"/>
      <c r="H9" s="2"/>
      <c r="I9" s="2"/>
    </row>
    <row r="10">
      <c r="A10" s="5">
        <v>45869.83203784723</v>
      </c>
      <c r="B10" s="2" t="s">
        <v>29</v>
      </c>
      <c r="C10" s="2" t="s">
        <v>64</v>
      </c>
      <c r="D10" s="2" t="s">
        <v>65</v>
      </c>
      <c r="E10" s="7" t="s">
        <v>66</v>
      </c>
      <c r="F10" s="2"/>
      <c r="G10" s="2"/>
      <c r="H10" s="2"/>
      <c r="I10" s="2"/>
    </row>
    <row r="11">
      <c r="A11" s="5">
        <v>45869.83304201389</v>
      </c>
      <c r="B11" s="2" t="s">
        <v>29</v>
      </c>
      <c r="C11" s="2" t="s">
        <v>67</v>
      </c>
      <c r="D11" s="2" t="s">
        <v>68</v>
      </c>
      <c r="E11" s="7" t="s">
        <v>69</v>
      </c>
      <c r="F11" s="2"/>
      <c r="G11" s="2"/>
      <c r="H11" s="2"/>
      <c r="I11" s="2"/>
    </row>
    <row r="12">
      <c r="A12" s="5">
        <v>45869.83381820602</v>
      </c>
      <c r="B12" s="2" t="s">
        <v>29</v>
      </c>
      <c r="C12" s="2" t="s">
        <v>71</v>
      </c>
      <c r="D12" s="2" t="s">
        <v>72</v>
      </c>
      <c r="E12" s="7" t="s">
        <v>73</v>
      </c>
      <c r="F12" s="2"/>
      <c r="G12" s="2"/>
      <c r="H12" s="2"/>
      <c r="I12" s="2"/>
    </row>
    <row r="13">
      <c r="A13" s="5">
        <v>45869.83459814815</v>
      </c>
      <c r="B13" s="2" t="s">
        <v>29</v>
      </c>
      <c r="C13" s="2" t="s">
        <v>75</v>
      </c>
      <c r="D13" s="2" t="s">
        <v>76</v>
      </c>
      <c r="E13" s="7" t="s">
        <v>77</v>
      </c>
      <c r="F13" s="2"/>
      <c r="G13" s="2"/>
      <c r="H13" s="2"/>
      <c r="I13" s="2"/>
    </row>
    <row r="14">
      <c r="A14" s="5">
        <v>45869.83548998843</v>
      </c>
      <c r="B14" s="2" t="s">
        <v>78</v>
      </c>
      <c r="C14" s="2" t="s">
        <v>79</v>
      </c>
      <c r="D14" s="2" t="s">
        <v>80</v>
      </c>
      <c r="E14" s="7" t="s">
        <v>81</v>
      </c>
      <c r="F14" s="2"/>
      <c r="G14" s="2"/>
      <c r="H14" s="2"/>
      <c r="I14" s="2"/>
    </row>
    <row r="15">
      <c r="A15" s="5">
        <v>45869.8364403125</v>
      </c>
      <c r="B15" s="2" t="s">
        <v>18</v>
      </c>
      <c r="C15" s="2" t="s">
        <v>83</v>
      </c>
      <c r="D15" s="2" t="s">
        <v>84</v>
      </c>
      <c r="E15" s="7" t="s">
        <v>85</v>
      </c>
      <c r="F15" s="2"/>
      <c r="G15" s="2"/>
      <c r="H15" s="2"/>
      <c r="I15" s="2"/>
    </row>
    <row r="16">
      <c r="A16" s="5">
        <v>45869.83714753472</v>
      </c>
      <c r="B16" s="2" t="s">
        <v>40</v>
      </c>
      <c r="C16" s="2" t="s">
        <v>86</v>
      </c>
      <c r="D16" s="2" t="s">
        <v>87</v>
      </c>
      <c r="E16" s="7" t="s">
        <v>88</v>
      </c>
      <c r="F16" s="2"/>
      <c r="G16" s="2"/>
      <c r="H16" s="2"/>
      <c r="I16" s="2"/>
    </row>
    <row r="17">
      <c r="A17" s="5">
        <v>45869.838089756944</v>
      </c>
      <c r="B17" s="2" t="s">
        <v>89</v>
      </c>
      <c r="C17" s="2" t="s">
        <v>90</v>
      </c>
      <c r="D17" s="2" t="s">
        <v>91</v>
      </c>
      <c r="E17" s="7" t="s">
        <v>92</v>
      </c>
      <c r="F17" s="2"/>
      <c r="G17" s="2"/>
      <c r="H17" s="2"/>
      <c r="I17" s="2"/>
    </row>
    <row r="18">
      <c r="A18" s="5">
        <v>45869.839203553245</v>
      </c>
      <c r="B18" s="2" t="s">
        <v>29</v>
      </c>
      <c r="C18" s="2" t="s">
        <v>93</v>
      </c>
      <c r="D18" s="2" t="s">
        <v>94</v>
      </c>
      <c r="E18" s="7" t="s">
        <v>95</v>
      </c>
      <c r="F18" s="2"/>
      <c r="G18" s="2"/>
      <c r="H18" s="2"/>
      <c r="I18" s="2"/>
    </row>
    <row r="19">
      <c r="A19" s="5">
        <v>45870.71290454861</v>
      </c>
      <c r="B19" s="2" t="s">
        <v>29</v>
      </c>
      <c r="C19" s="2" t="s">
        <v>97</v>
      </c>
      <c r="D19" s="2" t="s">
        <v>31</v>
      </c>
      <c r="E19" s="7" t="s">
        <v>98</v>
      </c>
      <c r="F19" s="2"/>
      <c r="G19" s="2"/>
      <c r="H19" s="2"/>
      <c r="I19" s="2"/>
    </row>
    <row r="20">
      <c r="A20" s="5">
        <v>45870.713720370375</v>
      </c>
      <c r="B20" s="2" t="s">
        <v>78</v>
      </c>
      <c r="C20" s="2" t="s">
        <v>99</v>
      </c>
      <c r="D20" s="2" t="s">
        <v>100</v>
      </c>
      <c r="E20" s="7" t="s">
        <v>101</v>
      </c>
      <c r="F20" s="2"/>
      <c r="G20" s="2"/>
      <c r="H20" s="2"/>
      <c r="I20" s="2"/>
    </row>
    <row r="21">
      <c r="A21" s="5">
        <v>45870.71823908565</v>
      </c>
      <c r="B21" s="2" t="s">
        <v>89</v>
      </c>
      <c r="C21" s="2" t="s">
        <v>102</v>
      </c>
      <c r="D21" s="2" t="s">
        <v>103</v>
      </c>
      <c r="E21" s="7" t="s">
        <v>104</v>
      </c>
      <c r="F21" s="2"/>
      <c r="G21" s="2"/>
      <c r="H21" s="2"/>
      <c r="I21" s="2"/>
    </row>
    <row r="22">
      <c r="A22" s="5">
        <v>45870.71887195602</v>
      </c>
      <c r="B22" s="2" t="s">
        <v>40</v>
      </c>
      <c r="C22" s="2" t="s">
        <v>105</v>
      </c>
      <c r="D22" s="2" t="s">
        <v>106</v>
      </c>
      <c r="E22" s="7" t="s">
        <v>107</v>
      </c>
      <c r="F22" s="2"/>
      <c r="G22" s="2"/>
      <c r="H22" s="2"/>
      <c r="I22" s="2"/>
    </row>
    <row r="23">
      <c r="A23" s="5">
        <v>45870.71958952546</v>
      </c>
      <c r="B23" s="2" t="s">
        <v>109</v>
      </c>
      <c r="C23" s="2" t="s">
        <v>110</v>
      </c>
      <c r="D23" s="2" t="s">
        <v>111</v>
      </c>
      <c r="E23" s="7" t="s">
        <v>112</v>
      </c>
      <c r="F23" s="2"/>
      <c r="G23" s="2"/>
      <c r="H23" s="2"/>
      <c r="I23" s="2" t="s">
        <v>113</v>
      </c>
    </row>
    <row r="24">
      <c r="A24" s="5">
        <v>45870.72047158565</v>
      </c>
      <c r="B24" s="2" t="s">
        <v>114</v>
      </c>
      <c r="C24" s="2" t="s">
        <v>115</v>
      </c>
      <c r="D24" s="2" t="s">
        <v>116</v>
      </c>
      <c r="E24" s="7" t="s">
        <v>117</v>
      </c>
      <c r="F24" s="2"/>
      <c r="G24" s="2"/>
      <c r="H24" s="2"/>
      <c r="I24" s="2" t="s">
        <v>118</v>
      </c>
    </row>
    <row r="25">
      <c r="A25" s="5">
        <v>46290.48448987269</v>
      </c>
      <c r="B25" s="2" t="s">
        <v>119</v>
      </c>
      <c r="C25" s="2" t="s">
        <v>120</v>
      </c>
      <c r="D25" s="2" t="s">
        <v>121</v>
      </c>
      <c r="E25" s="7" t="s">
        <v>122</v>
      </c>
      <c r="F25" s="2">
        <v>100.0</v>
      </c>
      <c r="G25" s="2" t="s">
        <v>123</v>
      </c>
      <c r="H25" s="2" t="s">
        <v>124</v>
      </c>
      <c r="I25" s="2" t="s">
        <v>125</v>
      </c>
    </row>
    <row r="26">
      <c r="A26" s="5">
        <v>46290.49359099537</v>
      </c>
      <c r="B26" s="2" t="s">
        <v>126</v>
      </c>
      <c r="C26" s="2" t="s">
        <v>127</v>
      </c>
      <c r="D26" s="2" t="s">
        <v>128</v>
      </c>
      <c r="E26" s="7" t="s">
        <v>129</v>
      </c>
      <c r="F26" s="2">
        <v>300.0</v>
      </c>
      <c r="G26" s="2" t="s">
        <v>123</v>
      </c>
      <c r="H26" s="2" t="s">
        <v>124</v>
      </c>
      <c r="I26" s="2"/>
    </row>
    <row r="27">
      <c r="A27" s="5">
        <v>46290.49462195602</v>
      </c>
      <c r="B27" s="2" t="s">
        <v>126</v>
      </c>
      <c r="C27" s="2" t="s">
        <v>130</v>
      </c>
      <c r="D27" s="2" t="s">
        <v>131</v>
      </c>
      <c r="E27" s="7" t="s">
        <v>132</v>
      </c>
      <c r="F27" s="2">
        <v>300.0</v>
      </c>
      <c r="G27" s="2" t="s">
        <v>123</v>
      </c>
      <c r="H27" s="2" t="s">
        <v>124</v>
      </c>
      <c r="I27" s="2"/>
    </row>
    <row r="28">
      <c r="A28" s="5">
        <v>46290.495633032406</v>
      </c>
      <c r="B28" s="2" t="s">
        <v>126</v>
      </c>
      <c r="C28" s="2" t="s">
        <v>133</v>
      </c>
      <c r="D28" s="2" t="s">
        <v>134</v>
      </c>
      <c r="E28" s="7" t="s">
        <v>135</v>
      </c>
      <c r="F28" s="2">
        <v>400.0</v>
      </c>
      <c r="G28" s="2" t="s">
        <v>123</v>
      </c>
      <c r="H28" s="2" t="s">
        <v>124</v>
      </c>
      <c r="I28" s="2"/>
    </row>
    <row r="29">
      <c r="A29" s="5">
        <v>46290.496619363425</v>
      </c>
      <c r="B29" s="2" t="s">
        <v>126</v>
      </c>
      <c r="C29" s="2" t="s">
        <v>136</v>
      </c>
      <c r="D29" s="2" t="s">
        <v>137</v>
      </c>
      <c r="E29" s="7" t="s">
        <v>138</v>
      </c>
      <c r="F29" s="2">
        <v>100.0</v>
      </c>
      <c r="G29" s="2" t="s">
        <v>123</v>
      </c>
      <c r="H29" s="2" t="s">
        <v>124</v>
      </c>
      <c r="I29" s="2"/>
    </row>
    <row r="30">
      <c r="A30" s="5">
        <v>46290.50030115741</v>
      </c>
      <c r="B30" s="2" t="s">
        <v>126</v>
      </c>
      <c r="C30" s="2" t="s">
        <v>139</v>
      </c>
      <c r="D30" s="2" t="s">
        <v>140</v>
      </c>
      <c r="E30" s="7" t="s">
        <v>141</v>
      </c>
      <c r="F30" s="2">
        <v>200.0</v>
      </c>
      <c r="G30" s="2" t="s">
        <v>123</v>
      </c>
      <c r="H30" s="2" t="s">
        <v>124</v>
      </c>
      <c r="I30" s="2"/>
    </row>
    <row r="31">
      <c r="A31" s="5">
        <v>46290.50298800926</v>
      </c>
      <c r="B31" s="2" t="s">
        <v>126</v>
      </c>
      <c r="C31" s="2" t="s">
        <v>142</v>
      </c>
      <c r="D31" s="2" t="s">
        <v>143</v>
      </c>
      <c r="E31" s="7" t="s">
        <v>144</v>
      </c>
      <c r="F31" s="2">
        <v>500.0</v>
      </c>
      <c r="G31" s="2" t="s">
        <v>123</v>
      </c>
      <c r="H31" s="2" t="s">
        <v>124</v>
      </c>
      <c r="I31" s="2"/>
    </row>
    <row r="32">
      <c r="A32" s="5">
        <v>46290.504940405095</v>
      </c>
      <c r="B32" s="2" t="s">
        <v>126</v>
      </c>
      <c r="C32" s="2" t="s">
        <v>145</v>
      </c>
      <c r="D32" s="2" t="s">
        <v>146</v>
      </c>
      <c r="E32" s="7" t="s">
        <v>147</v>
      </c>
      <c r="F32" s="2">
        <v>100.0</v>
      </c>
      <c r="G32" s="2" t="s">
        <v>123</v>
      </c>
      <c r="H32" s="2" t="s">
        <v>124</v>
      </c>
      <c r="I32" s="2"/>
    </row>
    <row r="33">
      <c r="A33" s="5">
        <v>46290.50563621528</v>
      </c>
      <c r="B33" s="2" t="s">
        <v>126</v>
      </c>
      <c r="C33" s="2" t="s">
        <v>149</v>
      </c>
      <c r="D33" s="2" t="s">
        <v>150</v>
      </c>
      <c r="E33" s="7" t="s">
        <v>151</v>
      </c>
      <c r="F33" s="2">
        <v>400.0</v>
      </c>
      <c r="G33" s="2" t="s">
        <v>123</v>
      </c>
      <c r="H33" s="2" t="s">
        <v>124</v>
      </c>
      <c r="I33" s="2"/>
    </row>
    <row r="34">
      <c r="A34" s="5">
        <v>46290.506947974536</v>
      </c>
      <c r="B34" s="2" t="s">
        <v>126</v>
      </c>
      <c r="C34" s="2" t="s">
        <v>152</v>
      </c>
      <c r="D34" s="2" t="s">
        <v>153</v>
      </c>
      <c r="E34" s="7" t="s">
        <v>154</v>
      </c>
      <c r="F34" s="2">
        <v>400.0</v>
      </c>
      <c r="G34" s="2" t="s">
        <v>123</v>
      </c>
      <c r="H34" s="2" t="s">
        <v>124</v>
      </c>
      <c r="I34" s="2"/>
    </row>
    <row r="35">
      <c r="A35" s="5">
        <v>46290.50760055556</v>
      </c>
      <c r="B35" s="2" t="s">
        <v>126</v>
      </c>
      <c r="C35" s="2" t="s">
        <v>155</v>
      </c>
      <c r="D35" s="2" t="s">
        <v>156</v>
      </c>
      <c r="E35" s="7" t="s">
        <v>157</v>
      </c>
      <c r="F35" s="2">
        <v>500.0</v>
      </c>
      <c r="G35" s="2" t="s">
        <v>123</v>
      </c>
      <c r="H35" s="2" t="s">
        <v>124</v>
      </c>
      <c r="I35" s="2"/>
    </row>
    <row r="36">
      <c r="A36" s="5">
        <v>46290.50853924769</v>
      </c>
      <c r="B36" s="2" t="s">
        <v>126</v>
      </c>
      <c r="C36" s="2" t="s">
        <v>158</v>
      </c>
      <c r="D36" s="2" t="s">
        <v>159</v>
      </c>
      <c r="E36" s="7" t="s">
        <v>160</v>
      </c>
      <c r="F36" s="2">
        <v>200.0</v>
      </c>
      <c r="G36" s="2" t="s">
        <v>123</v>
      </c>
      <c r="H36" s="2" t="s">
        <v>124</v>
      </c>
      <c r="I36" s="2"/>
    </row>
    <row r="37">
      <c r="A37" s="5">
        <v>46290.50905422454</v>
      </c>
      <c r="B37" s="2" t="s">
        <v>126</v>
      </c>
      <c r="C37" s="2" t="s">
        <v>161</v>
      </c>
      <c r="D37" s="2" t="s">
        <v>162</v>
      </c>
      <c r="E37" s="7" t="s">
        <v>163</v>
      </c>
      <c r="F37" s="2">
        <v>200.0</v>
      </c>
      <c r="G37" s="2" t="s">
        <v>123</v>
      </c>
      <c r="H37" s="2" t="s">
        <v>124</v>
      </c>
      <c r="I37" s="2"/>
    </row>
    <row r="38">
      <c r="A38" s="5">
        <v>46290.50970408565</v>
      </c>
      <c r="B38" s="2" t="s">
        <v>126</v>
      </c>
      <c r="C38" s="2" t="s">
        <v>164</v>
      </c>
      <c r="D38" s="2" t="s">
        <v>165</v>
      </c>
      <c r="E38" s="7" t="s">
        <v>166</v>
      </c>
      <c r="F38" s="2">
        <v>400.0</v>
      </c>
      <c r="G38" s="2" t="s">
        <v>123</v>
      </c>
      <c r="H38" s="2" t="s">
        <v>124</v>
      </c>
      <c r="I38" s="2"/>
    </row>
    <row r="39">
      <c r="A39" s="5">
        <v>46290.51047511574</v>
      </c>
      <c r="B39" s="2" t="s">
        <v>126</v>
      </c>
      <c r="C39" s="2" t="s">
        <v>167</v>
      </c>
      <c r="D39" s="2" t="s">
        <v>156</v>
      </c>
      <c r="E39" s="7" t="s">
        <v>168</v>
      </c>
      <c r="F39" s="2">
        <v>100.0</v>
      </c>
      <c r="G39" s="2" t="s">
        <v>123</v>
      </c>
      <c r="H39" s="2" t="s">
        <v>124</v>
      </c>
      <c r="I39" s="2"/>
    </row>
    <row r="40">
      <c r="A40" s="5">
        <v>46290.51085722222</v>
      </c>
      <c r="B40" s="2" t="s">
        <v>126</v>
      </c>
      <c r="C40" s="2" t="s">
        <v>169</v>
      </c>
      <c r="D40" s="2" t="s">
        <v>170</v>
      </c>
      <c r="E40" s="7" t="s">
        <v>171</v>
      </c>
      <c r="F40" s="2">
        <v>100.0</v>
      </c>
      <c r="G40" s="2" t="s">
        <v>123</v>
      </c>
      <c r="H40" s="2" t="s">
        <v>124</v>
      </c>
      <c r="I40" s="2"/>
    </row>
    <row r="41">
      <c r="A41" s="5">
        <v>46290.51151517361</v>
      </c>
      <c r="B41" s="2" t="s">
        <v>126</v>
      </c>
      <c r="C41" s="2" t="s">
        <v>172</v>
      </c>
      <c r="D41" s="2" t="s">
        <v>173</v>
      </c>
      <c r="E41" s="7" t="s">
        <v>174</v>
      </c>
      <c r="F41" s="2">
        <v>200.0</v>
      </c>
      <c r="G41" s="2" t="s">
        <v>123</v>
      </c>
      <c r="H41" s="2" t="s">
        <v>124</v>
      </c>
      <c r="I41" s="2"/>
    </row>
    <row r="42">
      <c r="A42" s="5">
        <v>46290.512419085644</v>
      </c>
      <c r="B42" s="2" t="s">
        <v>126</v>
      </c>
      <c r="C42" s="2" t="s">
        <v>175</v>
      </c>
      <c r="D42" s="2" t="s">
        <v>176</v>
      </c>
      <c r="E42" s="7" t="s">
        <v>177</v>
      </c>
      <c r="F42" s="2">
        <v>400.0</v>
      </c>
      <c r="G42" s="2" t="s">
        <v>123</v>
      </c>
      <c r="H42" s="2" t="s">
        <v>124</v>
      </c>
      <c r="I42" s="2"/>
    </row>
    <row r="43">
      <c r="A43" s="5">
        <v>46290.5163447338</v>
      </c>
      <c r="B43" s="2" t="s">
        <v>179</v>
      </c>
      <c r="C43" s="2" t="s">
        <v>180</v>
      </c>
      <c r="D43" s="2" t="s">
        <v>181</v>
      </c>
      <c r="E43" s="7" t="s">
        <v>182</v>
      </c>
      <c r="F43" s="2">
        <v>400.0</v>
      </c>
      <c r="G43" s="2" t="s">
        <v>123</v>
      </c>
      <c r="H43" s="2" t="s">
        <v>124</v>
      </c>
      <c r="I43" s="2"/>
    </row>
    <row r="44">
      <c r="A44" s="5">
        <v>46290.516842743054</v>
      </c>
      <c r="B44" s="2" t="s">
        <v>179</v>
      </c>
      <c r="C44" s="2" t="s">
        <v>183</v>
      </c>
      <c r="D44" s="2" t="s">
        <v>184</v>
      </c>
      <c r="E44" s="7" t="s">
        <v>185</v>
      </c>
      <c r="F44" s="2">
        <v>100.0</v>
      </c>
      <c r="G44" s="2" t="s">
        <v>123</v>
      </c>
      <c r="H44" s="2" t="s">
        <v>124</v>
      </c>
      <c r="I44" s="2"/>
    </row>
    <row r="45">
      <c r="A45" s="5">
        <v>46290.5201721875</v>
      </c>
      <c r="B45" s="2" t="s">
        <v>179</v>
      </c>
      <c r="C45" s="2" t="s">
        <v>187</v>
      </c>
      <c r="D45" s="2" t="s">
        <v>188</v>
      </c>
      <c r="E45" s="7" t="s">
        <v>189</v>
      </c>
      <c r="F45" s="2">
        <v>300.0</v>
      </c>
      <c r="G45" s="2" t="s">
        <v>123</v>
      </c>
      <c r="H45" s="2" t="s">
        <v>124</v>
      </c>
      <c r="I45" s="2"/>
    </row>
    <row r="46">
      <c r="A46" s="5">
        <v>46290.52072438657</v>
      </c>
      <c r="B46" s="2" t="s">
        <v>179</v>
      </c>
      <c r="C46" s="2" t="s">
        <v>190</v>
      </c>
      <c r="D46" s="2" t="s">
        <v>184</v>
      </c>
      <c r="E46" s="7" t="s">
        <v>191</v>
      </c>
      <c r="F46" s="2">
        <v>200.0</v>
      </c>
      <c r="G46" s="2" t="s">
        <v>123</v>
      </c>
      <c r="H46" s="2" t="s">
        <v>124</v>
      </c>
      <c r="I46" s="2"/>
    </row>
    <row r="47">
      <c r="A47" s="5">
        <v>46290.521209583334</v>
      </c>
      <c r="B47" s="2" t="s">
        <v>179</v>
      </c>
      <c r="C47" s="2" t="s">
        <v>193</v>
      </c>
      <c r="D47" s="2" t="s">
        <v>194</v>
      </c>
      <c r="E47" s="7" t="s">
        <v>195</v>
      </c>
      <c r="F47" s="2">
        <v>400.0</v>
      </c>
      <c r="G47" s="2" t="s">
        <v>123</v>
      </c>
      <c r="H47" s="2" t="s">
        <v>124</v>
      </c>
      <c r="I47" s="2"/>
    </row>
    <row r="48">
      <c r="A48" s="5">
        <v>46290.52205847223</v>
      </c>
      <c r="B48" s="2" t="s">
        <v>179</v>
      </c>
      <c r="C48" s="2" t="s">
        <v>196</v>
      </c>
      <c r="D48" s="2" t="s">
        <v>197</v>
      </c>
      <c r="E48" s="7" t="s">
        <v>198</v>
      </c>
      <c r="F48" s="2">
        <v>200.0</v>
      </c>
      <c r="G48" s="2" t="s">
        <v>123</v>
      </c>
      <c r="H48" s="2" t="s">
        <v>124</v>
      </c>
      <c r="I48" s="2"/>
    </row>
    <row r="49">
      <c r="A49" s="5">
        <v>46290.52316627315</v>
      </c>
      <c r="B49" s="2" t="s">
        <v>179</v>
      </c>
      <c r="C49" s="2" t="s">
        <v>200</v>
      </c>
      <c r="D49" s="2" t="s">
        <v>201</v>
      </c>
      <c r="E49" s="7" t="s">
        <v>202</v>
      </c>
      <c r="F49" s="2">
        <v>100.0</v>
      </c>
      <c r="G49" s="2" t="s">
        <v>123</v>
      </c>
      <c r="H49" s="2" t="s">
        <v>124</v>
      </c>
      <c r="I49" s="2"/>
    </row>
    <row r="50">
      <c r="A50" s="5">
        <v>46290.523855277774</v>
      </c>
      <c r="B50" s="2" t="s">
        <v>179</v>
      </c>
      <c r="C50" s="2" t="s">
        <v>204</v>
      </c>
      <c r="D50" s="2" t="s">
        <v>205</v>
      </c>
      <c r="E50" s="7" t="s">
        <v>206</v>
      </c>
      <c r="F50" s="2">
        <v>100.0</v>
      </c>
      <c r="G50" s="2" t="s">
        <v>123</v>
      </c>
      <c r="H50" s="2" t="s">
        <v>124</v>
      </c>
      <c r="I50" s="2"/>
    </row>
    <row r="51">
      <c r="A51" s="5">
        <v>46290.52488226852</v>
      </c>
      <c r="B51" s="2" t="s">
        <v>179</v>
      </c>
      <c r="C51" s="2" t="s">
        <v>208</v>
      </c>
      <c r="D51" s="2" t="s">
        <v>209</v>
      </c>
      <c r="E51" s="7" t="s">
        <v>210</v>
      </c>
      <c r="F51" s="2">
        <v>300.0</v>
      </c>
      <c r="G51" s="2" t="s">
        <v>123</v>
      </c>
      <c r="H51" s="2" t="s">
        <v>124</v>
      </c>
      <c r="I51" s="2"/>
    </row>
    <row r="52">
      <c r="A52" s="5">
        <v>46290.52531875</v>
      </c>
      <c r="B52" s="2" t="s">
        <v>179</v>
      </c>
      <c r="C52" s="2" t="s">
        <v>211</v>
      </c>
      <c r="D52" s="2" t="s">
        <v>212</v>
      </c>
      <c r="E52" s="7" t="s">
        <v>213</v>
      </c>
      <c r="F52" s="2">
        <v>100.0</v>
      </c>
      <c r="G52" s="2" t="s">
        <v>123</v>
      </c>
      <c r="H52" s="2" t="s">
        <v>124</v>
      </c>
      <c r="I52" s="2"/>
    </row>
    <row r="53">
      <c r="A53" s="5">
        <v>46290.52711954861</v>
      </c>
      <c r="B53" s="2" t="s">
        <v>214</v>
      </c>
      <c r="C53" s="2" t="s">
        <v>215</v>
      </c>
      <c r="D53" s="2" t="s">
        <v>216</v>
      </c>
      <c r="E53" s="7" t="s">
        <v>217</v>
      </c>
      <c r="F53" s="2">
        <v>200.0</v>
      </c>
      <c r="G53" s="2" t="s">
        <v>123</v>
      </c>
      <c r="H53" s="2" t="s">
        <v>124</v>
      </c>
      <c r="I53" s="2"/>
    </row>
    <row r="54">
      <c r="A54" s="5">
        <v>46290.52746703704</v>
      </c>
      <c r="B54" s="2" t="s">
        <v>214</v>
      </c>
      <c r="C54" s="2" t="s">
        <v>218</v>
      </c>
      <c r="D54" s="2" t="s">
        <v>219</v>
      </c>
      <c r="E54" s="7" t="s">
        <v>220</v>
      </c>
      <c r="F54" s="2">
        <v>300.0</v>
      </c>
      <c r="G54" s="2" t="s">
        <v>123</v>
      </c>
      <c r="H54" s="2" t="s">
        <v>124</v>
      </c>
      <c r="I54" s="2"/>
    </row>
    <row r="55">
      <c r="A55" s="5">
        <v>46290.52821020833</v>
      </c>
      <c r="B55" s="2" t="s">
        <v>214</v>
      </c>
      <c r="C55" s="2" t="s">
        <v>221</v>
      </c>
      <c r="D55" s="2" t="s">
        <v>222</v>
      </c>
      <c r="E55" s="7" t="s">
        <v>223</v>
      </c>
      <c r="F55" s="2">
        <v>200.0</v>
      </c>
      <c r="G55" s="2" t="s">
        <v>123</v>
      </c>
      <c r="H55" s="2" t="s">
        <v>124</v>
      </c>
      <c r="I55" s="2"/>
    </row>
    <row r="56">
      <c r="A56" s="5">
        <v>46290.52874517361</v>
      </c>
      <c r="B56" s="2" t="s">
        <v>214</v>
      </c>
      <c r="C56" s="2" t="s">
        <v>224</v>
      </c>
      <c r="D56" s="2" t="s">
        <v>225</v>
      </c>
      <c r="E56" s="7" t="s">
        <v>226</v>
      </c>
      <c r="F56" s="2">
        <v>300.0</v>
      </c>
      <c r="G56" s="2" t="s">
        <v>123</v>
      </c>
      <c r="H56" s="2" t="s">
        <v>124</v>
      </c>
      <c r="I56" s="2"/>
    </row>
    <row r="57">
      <c r="A57" s="5">
        <v>46290.52916388889</v>
      </c>
      <c r="B57" s="2" t="s">
        <v>214</v>
      </c>
      <c r="C57" s="2" t="s">
        <v>227</v>
      </c>
      <c r="D57" s="2" t="s">
        <v>228</v>
      </c>
      <c r="E57" s="7" t="s">
        <v>229</v>
      </c>
      <c r="F57" s="2">
        <v>200.0</v>
      </c>
      <c r="G57" s="2" t="s">
        <v>123</v>
      </c>
      <c r="H57" s="2" t="s">
        <v>124</v>
      </c>
      <c r="I57" s="2"/>
    </row>
    <row r="58">
      <c r="A58" s="5">
        <v>46290.529554733796</v>
      </c>
      <c r="B58" s="2" t="s">
        <v>214</v>
      </c>
      <c r="C58" s="2" t="s">
        <v>230</v>
      </c>
      <c r="D58" s="2" t="s">
        <v>231</v>
      </c>
      <c r="E58" s="7" t="s">
        <v>232</v>
      </c>
      <c r="F58" s="2">
        <v>100.0</v>
      </c>
      <c r="G58" s="2" t="s">
        <v>123</v>
      </c>
      <c r="H58" s="2" t="s">
        <v>124</v>
      </c>
      <c r="I58" s="2"/>
    </row>
    <row r="59">
      <c r="A59" s="5">
        <v>46290.52994900463</v>
      </c>
      <c r="B59" s="2" t="s">
        <v>214</v>
      </c>
      <c r="C59" s="2" t="s">
        <v>233</v>
      </c>
      <c r="D59" s="2" t="s">
        <v>234</v>
      </c>
      <c r="E59" s="7" t="s">
        <v>235</v>
      </c>
      <c r="F59" s="2">
        <v>200.0</v>
      </c>
      <c r="G59" s="2" t="s">
        <v>123</v>
      </c>
      <c r="H59" s="2" t="s">
        <v>124</v>
      </c>
      <c r="I59" s="2"/>
    </row>
    <row r="60">
      <c r="A60" s="5">
        <v>46290.5302871412</v>
      </c>
      <c r="B60" s="2" t="s">
        <v>214</v>
      </c>
      <c r="C60" s="2" t="s">
        <v>236</v>
      </c>
      <c r="D60" s="2" t="s">
        <v>237</v>
      </c>
      <c r="E60" s="7" t="s">
        <v>238</v>
      </c>
      <c r="F60" s="2">
        <v>100.0</v>
      </c>
      <c r="G60" s="2" t="s">
        <v>123</v>
      </c>
      <c r="H60" s="2" t="s">
        <v>124</v>
      </c>
      <c r="I60" s="2"/>
    </row>
    <row r="61">
      <c r="A61" s="5">
        <v>46290.534300706015</v>
      </c>
      <c r="B61" s="2" t="s">
        <v>214</v>
      </c>
      <c r="C61" s="2" t="s">
        <v>239</v>
      </c>
      <c r="D61" s="2" t="s">
        <v>240</v>
      </c>
      <c r="E61" s="7" t="s">
        <v>241</v>
      </c>
      <c r="F61" s="2">
        <v>400.0</v>
      </c>
      <c r="G61" s="2" t="s">
        <v>123</v>
      </c>
      <c r="H61" s="2" t="s">
        <v>124</v>
      </c>
      <c r="I61" s="2"/>
    </row>
    <row r="62">
      <c r="A62" s="5">
        <v>46290.53477375</v>
      </c>
      <c r="B62" s="2" t="s">
        <v>242</v>
      </c>
      <c r="C62" s="2" t="s">
        <v>243</v>
      </c>
      <c r="D62" s="2" t="s">
        <v>244</v>
      </c>
      <c r="E62" s="7" t="s">
        <v>245</v>
      </c>
      <c r="F62" s="2">
        <v>200.0</v>
      </c>
      <c r="G62" s="2" t="s">
        <v>123</v>
      </c>
      <c r="H62" s="2" t="s">
        <v>124</v>
      </c>
      <c r="I62" s="2"/>
    </row>
    <row r="63">
      <c r="A63" s="5">
        <v>46290.53524143518</v>
      </c>
      <c r="B63" s="2" t="s">
        <v>242</v>
      </c>
      <c r="C63" s="2" t="s">
        <v>246</v>
      </c>
      <c r="D63" s="2" t="s">
        <v>247</v>
      </c>
      <c r="E63" s="7" t="s">
        <v>248</v>
      </c>
      <c r="F63" s="2">
        <v>400.0</v>
      </c>
      <c r="G63" s="2" t="s">
        <v>123</v>
      </c>
      <c r="H63" s="2" t="s">
        <v>124</v>
      </c>
      <c r="I63" s="2"/>
    </row>
    <row r="64">
      <c r="A64" s="5">
        <v>46290.53568756944</v>
      </c>
      <c r="B64" s="2" t="s">
        <v>242</v>
      </c>
      <c r="C64" s="2" t="s">
        <v>249</v>
      </c>
      <c r="D64" s="2" t="s">
        <v>250</v>
      </c>
      <c r="E64" s="7" t="s">
        <v>251</v>
      </c>
      <c r="F64" s="2">
        <v>200.0</v>
      </c>
      <c r="G64" s="2" t="s">
        <v>123</v>
      </c>
      <c r="H64" s="2" t="s">
        <v>124</v>
      </c>
      <c r="I64" s="2"/>
    </row>
    <row r="65">
      <c r="A65" s="5">
        <v>46290.53798415509</v>
      </c>
      <c r="B65" s="2" t="s">
        <v>214</v>
      </c>
      <c r="C65" s="2" t="s">
        <v>252</v>
      </c>
      <c r="D65" s="2" t="s">
        <v>253</v>
      </c>
      <c r="E65" s="7" t="s">
        <v>254</v>
      </c>
      <c r="F65" s="2">
        <v>200.0</v>
      </c>
      <c r="G65" s="2" t="s">
        <v>123</v>
      </c>
      <c r="H65" s="2" t="s">
        <v>124</v>
      </c>
      <c r="I65" s="2"/>
    </row>
    <row r="66">
      <c r="A66" s="5">
        <v>46290.539193171295</v>
      </c>
      <c r="B66" s="2" t="s">
        <v>242</v>
      </c>
      <c r="C66" s="2" t="s">
        <v>255</v>
      </c>
      <c r="D66" s="2" t="s">
        <v>256</v>
      </c>
      <c r="E66" s="7" t="s">
        <v>257</v>
      </c>
      <c r="F66" s="2">
        <v>200.0</v>
      </c>
      <c r="G66" s="2" t="s">
        <v>123</v>
      </c>
      <c r="H66" s="2" t="s">
        <v>124</v>
      </c>
      <c r="I66" s="2"/>
    </row>
    <row r="67">
      <c r="A67" s="5">
        <v>46290.540530474536</v>
      </c>
      <c r="B67" s="2" t="s">
        <v>242</v>
      </c>
      <c r="C67" s="2" t="s">
        <v>258</v>
      </c>
      <c r="D67" s="2" t="s">
        <v>259</v>
      </c>
      <c r="E67" s="7" t="s">
        <v>260</v>
      </c>
      <c r="F67" s="2">
        <v>200.0</v>
      </c>
      <c r="G67" s="2" t="s">
        <v>123</v>
      </c>
      <c r="H67" s="2" t="s">
        <v>124</v>
      </c>
      <c r="I67" s="2"/>
    </row>
    <row r="68">
      <c r="A68" s="5">
        <v>46290.54243090277</v>
      </c>
      <c r="B68" s="2" t="s">
        <v>261</v>
      </c>
      <c r="C68" s="2" t="s">
        <v>262</v>
      </c>
      <c r="D68" s="2" t="s">
        <v>263</v>
      </c>
      <c r="E68" s="7" t="s">
        <v>264</v>
      </c>
      <c r="F68" s="2">
        <v>200.0</v>
      </c>
      <c r="G68" s="2" t="s">
        <v>123</v>
      </c>
      <c r="H68" s="2" t="s">
        <v>124</v>
      </c>
      <c r="I68" s="2"/>
    </row>
    <row r="69">
      <c r="A69" s="5">
        <v>46290.54285275463</v>
      </c>
      <c r="B69" s="2" t="s">
        <v>261</v>
      </c>
      <c r="C69" s="2" t="s">
        <v>265</v>
      </c>
      <c r="D69" s="2" t="s">
        <v>266</v>
      </c>
      <c r="E69" s="7" t="s">
        <v>267</v>
      </c>
      <c r="F69" s="2">
        <v>300.0</v>
      </c>
      <c r="G69" s="2" t="s">
        <v>123</v>
      </c>
      <c r="H69" s="2" t="s">
        <v>124</v>
      </c>
      <c r="I69" s="2"/>
    </row>
    <row r="70">
      <c r="A70" s="5">
        <v>46290.543515694444</v>
      </c>
      <c r="B70" s="2" t="s">
        <v>261</v>
      </c>
      <c r="C70" s="2" t="s">
        <v>268</v>
      </c>
      <c r="D70" s="2" t="s">
        <v>100</v>
      </c>
      <c r="E70" s="7" t="s">
        <v>269</v>
      </c>
      <c r="F70" s="2">
        <v>200.0</v>
      </c>
      <c r="G70" s="2" t="s">
        <v>123</v>
      </c>
      <c r="H70" s="2" t="s">
        <v>124</v>
      </c>
      <c r="I70" s="2"/>
    </row>
    <row r="71">
      <c r="A71" s="5">
        <v>46290.54392228009</v>
      </c>
      <c r="B71" s="2" t="s">
        <v>261</v>
      </c>
      <c r="C71" s="2" t="s">
        <v>270</v>
      </c>
      <c r="D71" s="2" t="s">
        <v>271</v>
      </c>
      <c r="E71" s="7" t="s">
        <v>272</v>
      </c>
      <c r="F71" s="2">
        <v>200.0</v>
      </c>
      <c r="G71" s="2" t="s">
        <v>123</v>
      </c>
      <c r="H71" s="2" t="s">
        <v>124</v>
      </c>
      <c r="I71" s="2"/>
    </row>
    <row r="72">
      <c r="A72" s="5">
        <v>46290.54439170139</v>
      </c>
      <c r="B72" s="2" t="s">
        <v>261</v>
      </c>
      <c r="C72" s="2" t="s">
        <v>273</v>
      </c>
      <c r="D72" s="2" t="s">
        <v>250</v>
      </c>
      <c r="E72" s="7" t="s">
        <v>274</v>
      </c>
      <c r="F72" s="2">
        <v>200.0</v>
      </c>
      <c r="G72" s="2" t="s">
        <v>123</v>
      </c>
      <c r="H72" s="2" t="s">
        <v>124</v>
      </c>
      <c r="I72" s="2"/>
    </row>
    <row r="73">
      <c r="A73" s="5">
        <v>46290.54488944444</v>
      </c>
      <c r="B73" s="2" t="s">
        <v>261</v>
      </c>
      <c r="C73" s="2" t="s">
        <v>275</v>
      </c>
      <c r="D73" s="2" t="s">
        <v>276</v>
      </c>
      <c r="E73" s="7" t="s">
        <v>277</v>
      </c>
      <c r="F73" s="2">
        <v>100.0</v>
      </c>
      <c r="G73" s="2" t="s">
        <v>123</v>
      </c>
      <c r="H73" s="2" t="s">
        <v>124</v>
      </c>
      <c r="I73" s="2"/>
    </row>
    <row r="74">
      <c r="A74" s="5">
        <v>46290.54598972222</v>
      </c>
      <c r="B74" s="2" t="s">
        <v>261</v>
      </c>
      <c r="C74" s="2" t="s">
        <v>278</v>
      </c>
      <c r="D74" s="2" t="s">
        <v>279</v>
      </c>
      <c r="E74" s="7" t="s">
        <v>280</v>
      </c>
      <c r="F74" s="2">
        <v>400.0</v>
      </c>
      <c r="G74" s="2" t="s">
        <v>123</v>
      </c>
      <c r="H74" s="2" t="s">
        <v>124</v>
      </c>
      <c r="I74" s="2"/>
    </row>
    <row r="75">
      <c r="A75" s="5">
        <v>46290.659433900466</v>
      </c>
      <c r="B75" s="2" t="s">
        <v>78</v>
      </c>
      <c r="C75" s="2" t="s">
        <v>281</v>
      </c>
      <c r="D75" s="2" t="s">
        <v>282</v>
      </c>
      <c r="E75" s="7" t="s">
        <v>283</v>
      </c>
      <c r="F75" s="2">
        <v>200.0</v>
      </c>
      <c r="G75" s="2" t="s">
        <v>123</v>
      </c>
      <c r="H75" s="2" t="s">
        <v>124</v>
      </c>
      <c r="I75" s="2"/>
    </row>
    <row r="76">
      <c r="A76" s="5">
        <v>46290.66024828704</v>
      </c>
      <c r="B76" s="2" t="s">
        <v>78</v>
      </c>
      <c r="C76" s="2" t="s">
        <v>284</v>
      </c>
      <c r="D76" s="2" t="s">
        <v>285</v>
      </c>
      <c r="E76" s="7" t="s">
        <v>286</v>
      </c>
      <c r="F76" s="2">
        <v>200.0</v>
      </c>
      <c r="G76" s="2" t="s">
        <v>123</v>
      </c>
      <c r="H76" s="2" t="s">
        <v>124</v>
      </c>
      <c r="I76" s="2"/>
    </row>
    <row r="77">
      <c r="A77" s="5">
        <v>46290.66375407408</v>
      </c>
      <c r="B77" s="2" t="s">
        <v>78</v>
      </c>
      <c r="C77" s="2" t="s">
        <v>287</v>
      </c>
      <c r="D77" s="2" t="s">
        <v>288</v>
      </c>
      <c r="E77" s="7" t="s">
        <v>289</v>
      </c>
      <c r="F77" s="2">
        <v>400.0</v>
      </c>
      <c r="G77" s="2" t="s">
        <v>123</v>
      </c>
      <c r="H77" s="2" t="s">
        <v>124</v>
      </c>
      <c r="I77" s="2" t="s">
        <v>290</v>
      </c>
    </row>
    <row r="78">
      <c r="A78" s="5">
        <v>46290.9331146412</v>
      </c>
      <c r="B78" s="2" t="s">
        <v>18</v>
      </c>
      <c r="C78" s="2" t="s">
        <v>291</v>
      </c>
      <c r="D78" s="2" t="s">
        <v>292</v>
      </c>
      <c r="E78" s="7" t="s">
        <v>293</v>
      </c>
      <c r="F78" s="2">
        <v>200.0</v>
      </c>
      <c r="G78" s="2"/>
      <c r="H78" s="2" t="s">
        <v>124</v>
      </c>
      <c r="I78" s="2"/>
    </row>
    <row r="79">
      <c r="A79" s="5">
        <v>46290.934174305556</v>
      </c>
      <c r="B79" s="2" t="s">
        <v>18</v>
      </c>
      <c r="C79" s="2" t="s">
        <v>294</v>
      </c>
      <c r="D79" s="2" t="s">
        <v>295</v>
      </c>
      <c r="E79" s="7" t="s">
        <v>296</v>
      </c>
      <c r="F79" s="2">
        <v>300.0</v>
      </c>
      <c r="G79" s="2" t="s">
        <v>123</v>
      </c>
      <c r="H79" s="2" t="s">
        <v>124</v>
      </c>
      <c r="I79" s="2"/>
    </row>
    <row r="80">
      <c r="A80" s="5">
        <v>46290.93504606481</v>
      </c>
      <c r="B80" s="2" t="s">
        <v>40</v>
      </c>
      <c r="C80" s="2" t="s">
        <v>297</v>
      </c>
      <c r="D80" s="2" t="s">
        <v>298</v>
      </c>
      <c r="E80" s="7" t="s">
        <v>299</v>
      </c>
      <c r="F80" s="2">
        <v>400.0</v>
      </c>
      <c r="G80" s="2" t="s">
        <v>123</v>
      </c>
      <c r="H80" s="2" t="s">
        <v>124</v>
      </c>
      <c r="I80" s="2"/>
    </row>
    <row r="81">
      <c r="A81" s="5">
        <v>46290.9359155787</v>
      </c>
      <c r="B81" s="2" t="s">
        <v>40</v>
      </c>
      <c r="C81" s="2" t="s">
        <v>300</v>
      </c>
      <c r="D81" s="2" t="s">
        <v>301</v>
      </c>
      <c r="E81" s="7" t="s">
        <v>302</v>
      </c>
      <c r="F81" s="2">
        <v>400.0</v>
      </c>
      <c r="G81" s="2" t="s">
        <v>123</v>
      </c>
      <c r="H81" s="2" t="s">
        <v>124</v>
      </c>
      <c r="I81" s="2"/>
    </row>
    <row r="82">
      <c r="A82" s="5">
        <v>46290.93859685185</v>
      </c>
      <c r="B82" s="2" t="s">
        <v>109</v>
      </c>
      <c r="C82" s="2" t="s">
        <v>303</v>
      </c>
      <c r="D82" s="2" t="s">
        <v>304</v>
      </c>
      <c r="E82" s="7" t="s">
        <v>305</v>
      </c>
      <c r="F82" s="2">
        <v>200.0</v>
      </c>
      <c r="G82" s="2" t="s">
        <v>123</v>
      </c>
      <c r="H82" s="2" t="s">
        <v>124</v>
      </c>
      <c r="I82" s="2"/>
    </row>
    <row r="83">
      <c r="A83" s="5">
        <v>46290.939410023144</v>
      </c>
      <c r="B83" s="2" t="s">
        <v>109</v>
      </c>
      <c r="C83" s="2" t="s">
        <v>306</v>
      </c>
      <c r="D83" s="2" t="s">
        <v>307</v>
      </c>
      <c r="E83" s="7" t="s">
        <v>308</v>
      </c>
      <c r="F83" s="2">
        <v>300.0</v>
      </c>
      <c r="G83" s="2" t="s">
        <v>123</v>
      </c>
      <c r="H83" s="2" t="s">
        <v>124</v>
      </c>
      <c r="I83" s="2"/>
    </row>
    <row r="84">
      <c r="A84" s="5">
        <v>46290.94056945602</v>
      </c>
      <c r="B84" s="2" t="s">
        <v>89</v>
      </c>
      <c r="C84" s="2" t="s">
        <v>309</v>
      </c>
      <c r="D84" s="2" t="s">
        <v>310</v>
      </c>
      <c r="E84" s="7" t="s">
        <v>311</v>
      </c>
      <c r="F84" s="2">
        <v>300.0</v>
      </c>
      <c r="G84" s="2" t="s">
        <v>123</v>
      </c>
      <c r="H84" s="2" t="s">
        <v>124</v>
      </c>
      <c r="I84" s="2"/>
    </row>
    <row r="85">
      <c r="A85" s="5">
        <v>46290.94192175926</v>
      </c>
      <c r="B85" s="2" t="s">
        <v>89</v>
      </c>
      <c r="C85" s="2" t="s">
        <v>312</v>
      </c>
      <c r="D85" s="2" t="s">
        <v>313</v>
      </c>
      <c r="E85" s="7" t="s">
        <v>314</v>
      </c>
      <c r="F85" s="2">
        <v>200.0</v>
      </c>
      <c r="G85" s="2" t="s">
        <v>123</v>
      </c>
      <c r="H85" s="2" t="s">
        <v>124</v>
      </c>
      <c r="I85" s="2"/>
    </row>
    <row r="86">
      <c r="A86" s="5">
        <v>46290.94568484953</v>
      </c>
      <c r="B86" s="2" t="s">
        <v>89</v>
      </c>
      <c r="C86" s="2" t="s">
        <v>315</v>
      </c>
      <c r="D86" s="2" t="s">
        <v>316</v>
      </c>
      <c r="E86" s="7" t="s">
        <v>317</v>
      </c>
      <c r="F86" s="2">
        <v>500.0</v>
      </c>
      <c r="G86" s="2" t="s">
        <v>123</v>
      </c>
      <c r="H86" s="2" t="s">
        <v>124</v>
      </c>
      <c r="I86" s="2"/>
    </row>
    <row r="87">
      <c r="A87" s="5">
        <v>46290.94854344908</v>
      </c>
      <c r="B87" s="2" t="s">
        <v>109</v>
      </c>
      <c r="C87" s="2" t="s">
        <v>318</v>
      </c>
      <c r="D87" s="2" t="s">
        <v>319</v>
      </c>
      <c r="E87" s="7" t="s">
        <v>320</v>
      </c>
      <c r="F87" s="2">
        <v>300.0</v>
      </c>
      <c r="G87" s="2" t="s">
        <v>123</v>
      </c>
      <c r="H87" s="2" t="s">
        <v>124</v>
      </c>
      <c r="I87" s="2"/>
    </row>
    <row r="88">
      <c r="A88" s="5">
        <v>46290.949757685186</v>
      </c>
      <c r="B88" s="2" t="s">
        <v>109</v>
      </c>
      <c r="C88" s="2" t="s">
        <v>321</v>
      </c>
      <c r="D88" s="2" t="s">
        <v>322</v>
      </c>
      <c r="E88" s="7" t="s">
        <v>323</v>
      </c>
      <c r="F88" s="2">
        <v>400.0</v>
      </c>
      <c r="G88" s="2" t="s">
        <v>123</v>
      </c>
      <c r="H88" s="2" t="s">
        <v>124</v>
      </c>
      <c r="I88" s="2"/>
    </row>
    <row r="89">
      <c r="A89" s="5">
        <v>46290.951839490735</v>
      </c>
      <c r="B89" s="2" t="s">
        <v>114</v>
      </c>
      <c r="C89" s="2" t="s">
        <v>324</v>
      </c>
      <c r="D89" s="2" t="s">
        <v>325</v>
      </c>
      <c r="E89" s="7" t="s">
        <v>326</v>
      </c>
      <c r="F89" s="2">
        <v>400.0</v>
      </c>
      <c r="G89" s="2" t="s">
        <v>123</v>
      </c>
      <c r="H89" s="2" t="s">
        <v>124</v>
      </c>
      <c r="I89" s="2"/>
    </row>
    <row r="90">
      <c r="A90" s="5">
        <v>46290.95250304398</v>
      </c>
      <c r="B90" s="2" t="s">
        <v>114</v>
      </c>
      <c r="C90" s="2" t="s">
        <v>327</v>
      </c>
      <c r="D90" s="2" t="s">
        <v>328</v>
      </c>
      <c r="E90" s="7" t="s">
        <v>329</v>
      </c>
      <c r="F90" s="2">
        <v>500.0</v>
      </c>
      <c r="G90" s="2" t="s">
        <v>123</v>
      </c>
      <c r="H90" s="2" t="s">
        <v>124</v>
      </c>
      <c r="I90" s="2"/>
    </row>
    <row r="91">
      <c r="A91" s="5">
        <v>46290.95358785879</v>
      </c>
      <c r="B91" s="2" t="s">
        <v>114</v>
      </c>
      <c r="C91" s="2" t="s">
        <v>330</v>
      </c>
      <c r="D91" s="2" t="s">
        <v>331</v>
      </c>
      <c r="E91" s="7" t="s">
        <v>332</v>
      </c>
      <c r="F91" s="2">
        <v>400.0</v>
      </c>
      <c r="G91" s="2" t="s">
        <v>123</v>
      </c>
      <c r="H91" s="2" t="s">
        <v>124</v>
      </c>
      <c r="I91" s="2"/>
    </row>
    <row r="92">
      <c r="A92" s="5">
        <v>46290.954700393515</v>
      </c>
      <c r="B92" s="2" t="s">
        <v>114</v>
      </c>
      <c r="C92" s="2" t="s">
        <v>333</v>
      </c>
      <c r="D92" s="2" t="s">
        <v>334</v>
      </c>
      <c r="E92" s="7" t="s">
        <v>335</v>
      </c>
      <c r="F92" s="2">
        <v>400.0</v>
      </c>
      <c r="G92" s="2" t="s">
        <v>123</v>
      </c>
      <c r="H92" s="2" t="s">
        <v>124</v>
      </c>
      <c r="I92" s="2"/>
    </row>
    <row r="93">
      <c r="A93" s="5">
        <v>46291.087483125</v>
      </c>
      <c r="B93" s="2" t="s">
        <v>119</v>
      </c>
      <c r="C93" s="2" t="s">
        <v>336</v>
      </c>
      <c r="D93" s="2" t="s">
        <v>337</v>
      </c>
      <c r="E93" s="7" t="s">
        <v>338</v>
      </c>
      <c r="F93" s="2">
        <v>100.0</v>
      </c>
      <c r="G93" s="2" t="s">
        <v>123</v>
      </c>
      <c r="H93" s="2" t="s">
        <v>124</v>
      </c>
      <c r="I93" s="2"/>
    </row>
    <row r="94">
      <c r="A94" s="5">
        <v>46291.08835475694</v>
      </c>
      <c r="B94" s="2" t="s">
        <v>119</v>
      </c>
      <c r="C94" s="2" t="s">
        <v>339</v>
      </c>
      <c r="D94" s="2" t="s">
        <v>340</v>
      </c>
      <c r="E94" s="7" t="s">
        <v>341</v>
      </c>
      <c r="F94" s="2">
        <v>500.0</v>
      </c>
      <c r="G94" s="2" t="s">
        <v>123</v>
      </c>
      <c r="H94" s="2" t="s">
        <v>124</v>
      </c>
      <c r="I94" s="2"/>
    </row>
    <row r="95">
      <c r="A95" s="5">
        <v>46291.08954347222</v>
      </c>
      <c r="B95" s="2" t="s">
        <v>119</v>
      </c>
      <c r="C95" s="2" t="s">
        <v>342</v>
      </c>
      <c r="D95" s="2" t="s">
        <v>343</v>
      </c>
      <c r="E95" s="7" t="s">
        <v>344</v>
      </c>
      <c r="F95" s="2">
        <v>200.0</v>
      </c>
      <c r="G95" s="2" t="s">
        <v>123</v>
      </c>
      <c r="H95" s="2" t="s">
        <v>124</v>
      </c>
      <c r="I95" s="2"/>
    </row>
    <row r="96">
      <c r="A96" s="5">
        <v>46291.09044486111</v>
      </c>
      <c r="B96" s="2" t="s">
        <v>119</v>
      </c>
      <c r="C96" s="2" t="s">
        <v>345</v>
      </c>
      <c r="D96" s="2" t="s">
        <v>346</v>
      </c>
      <c r="E96" s="7" t="s">
        <v>347</v>
      </c>
      <c r="F96" s="2">
        <v>200.0</v>
      </c>
      <c r="G96" s="2" t="s">
        <v>123</v>
      </c>
      <c r="H96" s="2"/>
      <c r="I96" s="2"/>
    </row>
    <row r="97">
      <c r="A97" s="5">
        <v>46290.54598972222</v>
      </c>
      <c r="B97" s="2" t="s">
        <v>348</v>
      </c>
      <c r="C97" s="2" t="s">
        <v>349</v>
      </c>
      <c r="D97" s="2" t="s">
        <v>350</v>
      </c>
      <c r="E97" s="7" t="s">
        <v>351</v>
      </c>
      <c r="F97" s="2">
        <v>100.0</v>
      </c>
      <c r="G97" s="2" t="s">
        <v>123</v>
      </c>
      <c r="H97" s="2" t="s">
        <v>352</v>
      </c>
      <c r="I97" s="2" t="s">
        <v>353</v>
      </c>
    </row>
    <row r="98">
      <c r="A98" s="5">
        <v>46290.54598972222</v>
      </c>
      <c r="B98" s="2" t="s">
        <v>348</v>
      </c>
      <c r="C98" s="2" t="s">
        <v>354</v>
      </c>
      <c r="D98" s="2" t="s">
        <v>355</v>
      </c>
      <c r="E98" s="7" t="s">
        <v>356</v>
      </c>
      <c r="F98" s="2">
        <v>200.0</v>
      </c>
      <c r="G98" s="2" t="s">
        <v>123</v>
      </c>
      <c r="H98" s="2" t="s">
        <v>352</v>
      </c>
      <c r="I98" s="2" t="s">
        <v>357</v>
      </c>
    </row>
    <row r="99">
      <c r="A99" s="5">
        <v>46290.54598972222</v>
      </c>
      <c r="B99" s="2" t="s">
        <v>348</v>
      </c>
      <c r="C99" s="2" t="s">
        <v>358</v>
      </c>
      <c r="D99" s="2" t="s">
        <v>359</v>
      </c>
      <c r="E99" s="7" t="s">
        <v>360</v>
      </c>
      <c r="F99" s="2">
        <v>300.0</v>
      </c>
      <c r="G99" s="2" t="s">
        <v>123</v>
      </c>
      <c r="H99" s="2" t="s">
        <v>352</v>
      </c>
      <c r="I99" s="2" t="s">
        <v>361</v>
      </c>
    </row>
    <row r="100">
      <c r="A100" s="5">
        <v>46290.54598972222</v>
      </c>
      <c r="B100" s="2" t="s">
        <v>348</v>
      </c>
      <c r="C100" s="2" t="s">
        <v>362</v>
      </c>
      <c r="D100" s="2" t="s">
        <v>363</v>
      </c>
      <c r="E100" s="7" t="s">
        <v>364</v>
      </c>
      <c r="F100" s="2">
        <v>400.0</v>
      </c>
      <c r="G100" s="2" t="s">
        <v>123</v>
      </c>
      <c r="H100" s="2" t="s">
        <v>352</v>
      </c>
      <c r="I100" s="2" t="s">
        <v>365</v>
      </c>
    </row>
    <row r="101">
      <c r="A101" s="5">
        <v>46290.54598972222</v>
      </c>
      <c r="B101" s="2" t="s">
        <v>348</v>
      </c>
      <c r="C101" s="2" t="s">
        <v>366</v>
      </c>
      <c r="D101" s="2" t="s">
        <v>367</v>
      </c>
      <c r="E101" s="7" t="s">
        <v>368</v>
      </c>
      <c r="F101" s="2">
        <v>500.0</v>
      </c>
      <c r="G101" s="2" t="s">
        <v>123</v>
      </c>
      <c r="H101" s="2" t="s">
        <v>352</v>
      </c>
      <c r="I101" s="2" t="s">
        <v>369</v>
      </c>
    </row>
    <row r="102">
      <c r="A102" s="5">
        <v>46290.54598972222</v>
      </c>
      <c r="B102" s="2" t="s">
        <v>370</v>
      </c>
      <c r="C102" s="2" t="s">
        <v>371</v>
      </c>
      <c r="D102" s="2" t="s">
        <v>372</v>
      </c>
      <c r="E102" s="7" t="s">
        <v>373</v>
      </c>
      <c r="F102" s="2">
        <v>100.0</v>
      </c>
      <c r="G102" s="2" t="s">
        <v>123</v>
      </c>
      <c r="H102" s="2" t="s">
        <v>352</v>
      </c>
      <c r="I102" s="2" t="s">
        <v>374</v>
      </c>
    </row>
    <row r="103">
      <c r="A103" s="5">
        <v>46290.54598972222</v>
      </c>
      <c r="B103" s="2" t="s">
        <v>370</v>
      </c>
      <c r="C103" s="2" t="s">
        <v>375</v>
      </c>
      <c r="D103" s="2" t="s">
        <v>376</v>
      </c>
      <c r="E103" s="7" t="s">
        <v>377</v>
      </c>
      <c r="F103" s="2">
        <v>200.0</v>
      </c>
      <c r="G103" s="2" t="s">
        <v>123</v>
      </c>
      <c r="H103" s="2" t="s">
        <v>352</v>
      </c>
      <c r="I103" s="2" t="s">
        <v>378</v>
      </c>
    </row>
    <row r="104">
      <c r="A104" s="5">
        <v>46290.54598972222</v>
      </c>
      <c r="B104" s="2" t="s">
        <v>370</v>
      </c>
      <c r="C104" s="2" t="s">
        <v>379</v>
      </c>
      <c r="D104" s="2" t="s">
        <v>380</v>
      </c>
      <c r="E104" s="7" t="s">
        <v>381</v>
      </c>
      <c r="F104" s="2">
        <v>300.0</v>
      </c>
      <c r="G104" s="2" t="s">
        <v>123</v>
      </c>
      <c r="H104" s="2" t="s">
        <v>352</v>
      </c>
      <c r="I104" s="2" t="s">
        <v>382</v>
      </c>
    </row>
    <row r="105">
      <c r="A105" s="5">
        <v>46290.54598972222</v>
      </c>
      <c r="B105" s="2" t="s">
        <v>370</v>
      </c>
      <c r="C105" s="2" t="s">
        <v>383</v>
      </c>
      <c r="D105" s="2" t="s">
        <v>384</v>
      </c>
      <c r="E105" s="7" t="s">
        <v>385</v>
      </c>
      <c r="F105" s="2">
        <v>400.0</v>
      </c>
      <c r="G105" s="2" t="s">
        <v>123</v>
      </c>
      <c r="H105" s="2" t="s">
        <v>352</v>
      </c>
      <c r="I105" s="2" t="s">
        <v>386</v>
      </c>
    </row>
    <row r="106">
      <c r="A106" s="5">
        <v>46290.54598972222</v>
      </c>
      <c r="B106" s="2" t="s">
        <v>370</v>
      </c>
      <c r="C106" s="2" t="s">
        <v>387</v>
      </c>
      <c r="D106" s="2" t="s">
        <v>388</v>
      </c>
      <c r="E106" s="7" t="s">
        <v>389</v>
      </c>
      <c r="F106" s="2">
        <v>500.0</v>
      </c>
      <c r="G106" s="2" t="s">
        <v>123</v>
      </c>
      <c r="H106" s="2" t="s">
        <v>352</v>
      </c>
      <c r="I106" s="2" t="s">
        <v>390</v>
      </c>
    </row>
    <row r="107">
      <c r="A107" s="5">
        <v>46290.54598972222</v>
      </c>
      <c r="B107" s="2" t="s">
        <v>391</v>
      </c>
      <c r="C107" s="2" t="s">
        <v>392</v>
      </c>
      <c r="D107" s="2" t="s">
        <v>393</v>
      </c>
      <c r="E107" s="7" t="s">
        <v>394</v>
      </c>
      <c r="F107" s="2">
        <v>100.0</v>
      </c>
      <c r="G107" s="2" t="s">
        <v>123</v>
      </c>
      <c r="H107" s="2" t="s">
        <v>352</v>
      </c>
      <c r="I107" s="2" t="s">
        <v>395</v>
      </c>
    </row>
    <row r="108">
      <c r="A108" s="5">
        <v>46290.54598972222</v>
      </c>
      <c r="B108" s="2" t="s">
        <v>391</v>
      </c>
      <c r="C108" s="2" t="s">
        <v>396</v>
      </c>
      <c r="D108" s="2" t="s">
        <v>397</v>
      </c>
      <c r="E108" s="7" t="s">
        <v>398</v>
      </c>
      <c r="F108" s="2">
        <v>200.0</v>
      </c>
      <c r="G108" s="2" t="s">
        <v>123</v>
      </c>
      <c r="H108" s="2" t="s">
        <v>352</v>
      </c>
      <c r="I108" s="2" t="s">
        <v>399</v>
      </c>
    </row>
    <row r="109">
      <c r="A109" s="5">
        <v>46290.54598972222</v>
      </c>
      <c r="B109" s="2" t="s">
        <v>391</v>
      </c>
      <c r="C109" s="2" t="s">
        <v>400</v>
      </c>
      <c r="D109" s="2" t="s">
        <v>401</v>
      </c>
      <c r="E109" s="7" t="s">
        <v>402</v>
      </c>
      <c r="F109" s="2">
        <v>300.0</v>
      </c>
      <c r="G109" s="2" t="s">
        <v>123</v>
      </c>
      <c r="H109" s="2" t="s">
        <v>352</v>
      </c>
      <c r="I109" s="2" t="s">
        <v>403</v>
      </c>
    </row>
    <row r="110">
      <c r="A110" s="5">
        <v>46290.54598972222</v>
      </c>
      <c r="B110" s="2" t="s">
        <v>391</v>
      </c>
      <c r="C110" s="2" t="s">
        <v>404</v>
      </c>
      <c r="D110" s="2" t="s">
        <v>405</v>
      </c>
      <c r="E110" s="7" t="s">
        <v>406</v>
      </c>
      <c r="F110" s="2">
        <v>400.0</v>
      </c>
      <c r="G110" s="2" t="s">
        <v>123</v>
      </c>
      <c r="H110" s="2" t="s">
        <v>352</v>
      </c>
      <c r="I110" s="2" t="s">
        <v>407</v>
      </c>
    </row>
    <row r="111">
      <c r="A111" s="5">
        <v>46290.54598972222</v>
      </c>
      <c r="B111" s="2" t="s">
        <v>391</v>
      </c>
      <c r="C111" s="2" t="s">
        <v>408</v>
      </c>
      <c r="D111" s="2" t="s">
        <v>409</v>
      </c>
      <c r="E111" s="7" t="s">
        <v>410</v>
      </c>
      <c r="F111" s="2">
        <v>500.0</v>
      </c>
      <c r="G111" s="2" t="s">
        <v>123</v>
      </c>
      <c r="H111" s="2" t="s">
        <v>352</v>
      </c>
      <c r="I111" s="2" t="s">
        <v>411</v>
      </c>
    </row>
    <row r="112">
      <c r="A112" s="5">
        <v>46290.54598972222</v>
      </c>
      <c r="B112" s="2" t="s">
        <v>412</v>
      </c>
      <c r="C112" s="2" t="s">
        <v>413</v>
      </c>
      <c r="D112" s="2" t="s">
        <v>414</v>
      </c>
      <c r="E112" s="7" t="s">
        <v>415</v>
      </c>
      <c r="F112" s="2">
        <v>100.0</v>
      </c>
      <c r="G112" s="2" t="s">
        <v>123</v>
      </c>
      <c r="H112" s="2" t="s">
        <v>352</v>
      </c>
      <c r="I112" s="2" t="s">
        <v>416</v>
      </c>
    </row>
    <row r="113">
      <c r="A113" s="5">
        <v>46290.54598972222</v>
      </c>
      <c r="B113" s="2" t="s">
        <v>412</v>
      </c>
      <c r="C113" s="2" t="s">
        <v>417</v>
      </c>
      <c r="D113" s="2" t="s">
        <v>418</v>
      </c>
      <c r="E113" s="7" t="s">
        <v>419</v>
      </c>
      <c r="F113" s="2">
        <v>200.0</v>
      </c>
      <c r="G113" s="2" t="s">
        <v>123</v>
      </c>
      <c r="H113" s="2" t="s">
        <v>352</v>
      </c>
      <c r="I113" s="2" t="s">
        <v>420</v>
      </c>
    </row>
    <row r="114">
      <c r="A114" s="5">
        <v>46290.54598972222</v>
      </c>
      <c r="B114" s="2" t="s">
        <v>412</v>
      </c>
      <c r="C114" s="2" t="s">
        <v>421</v>
      </c>
      <c r="D114" s="2" t="s">
        <v>422</v>
      </c>
      <c r="E114" s="7" t="s">
        <v>423</v>
      </c>
      <c r="F114" s="2">
        <v>300.0</v>
      </c>
      <c r="G114" s="2" t="s">
        <v>123</v>
      </c>
      <c r="H114" s="2" t="s">
        <v>352</v>
      </c>
      <c r="I114" s="2" t="s">
        <v>424</v>
      </c>
    </row>
    <row r="115">
      <c r="A115" s="5">
        <v>46290.54598972222</v>
      </c>
      <c r="B115" s="2" t="s">
        <v>412</v>
      </c>
      <c r="C115" s="2" t="s">
        <v>425</v>
      </c>
      <c r="D115" s="2" t="s">
        <v>426</v>
      </c>
      <c r="E115" s="7" t="s">
        <v>427</v>
      </c>
      <c r="F115" s="2">
        <v>400.0</v>
      </c>
      <c r="G115" s="2" t="s">
        <v>123</v>
      </c>
      <c r="H115" s="2" t="s">
        <v>352</v>
      </c>
      <c r="I115" s="2" t="s">
        <v>428</v>
      </c>
    </row>
    <row r="116">
      <c r="A116" s="5">
        <v>46290.54598972222</v>
      </c>
      <c r="B116" s="2" t="s">
        <v>412</v>
      </c>
      <c r="C116" s="2" t="s">
        <v>429</v>
      </c>
      <c r="D116" s="2" t="s">
        <v>430</v>
      </c>
      <c r="E116" s="7" t="s">
        <v>431</v>
      </c>
      <c r="F116" s="2">
        <v>500.0</v>
      </c>
      <c r="G116" s="2" t="s">
        <v>123</v>
      </c>
      <c r="H116" s="2" t="s">
        <v>352</v>
      </c>
      <c r="I116" s="2" t="s">
        <v>432</v>
      </c>
    </row>
    <row r="117">
      <c r="A117" s="5">
        <v>46290.54598972222</v>
      </c>
      <c r="B117" s="2" t="s">
        <v>433</v>
      </c>
      <c r="C117" s="2" t="s">
        <v>434</v>
      </c>
      <c r="D117" s="2" t="s">
        <v>435</v>
      </c>
      <c r="E117" s="7" t="s">
        <v>436</v>
      </c>
      <c r="F117" s="2">
        <v>100.0</v>
      </c>
      <c r="G117" s="2" t="s">
        <v>123</v>
      </c>
      <c r="H117" s="2" t="s">
        <v>352</v>
      </c>
      <c r="I117" s="2" t="s">
        <v>437</v>
      </c>
    </row>
    <row r="118">
      <c r="A118" s="5">
        <v>46290.54598972222</v>
      </c>
      <c r="B118" s="2" t="s">
        <v>433</v>
      </c>
      <c r="C118" s="2" t="s">
        <v>438</v>
      </c>
      <c r="D118" s="2" t="s">
        <v>439</v>
      </c>
      <c r="E118" s="7" t="s">
        <v>440</v>
      </c>
      <c r="F118" s="2">
        <v>200.0</v>
      </c>
      <c r="G118" s="2" t="s">
        <v>123</v>
      </c>
      <c r="H118" s="2" t="s">
        <v>352</v>
      </c>
      <c r="I118" s="2" t="s">
        <v>441</v>
      </c>
    </row>
    <row r="119">
      <c r="A119" s="5">
        <v>46290.54598972222</v>
      </c>
      <c r="B119" s="2" t="s">
        <v>433</v>
      </c>
      <c r="C119" s="2" t="s">
        <v>442</v>
      </c>
      <c r="D119" s="2" t="s">
        <v>443</v>
      </c>
      <c r="E119" s="7" t="s">
        <v>444</v>
      </c>
      <c r="F119" s="2">
        <v>300.0</v>
      </c>
      <c r="G119" s="2" t="s">
        <v>123</v>
      </c>
      <c r="H119" s="2" t="s">
        <v>352</v>
      </c>
      <c r="I119" s="2" t="s">
        <v>445</v>
      </c>
    </row>
    <row r="120">
      <c r="A120" s="5">
        <v>46290.54598972222</v>
      </c>
      <c r="B120" s="2" t="s">
        <v>433</v>
      </c>
      <c r="C120" s="2" t="s">
        <v>446</v>
      </c>
      <c r="D120" s="2" t="s">
        <v>447</v>
      </c>
      <c r="E120" s="7" t="s">
        <v>448</v>
      </c>
      <c r="F120" s="2">
        <v>400.0</v>
      </c>
      <c r="G120" s="2" t="s">
        <v>123</v>
      </c>
      <c r="H120" s="2" t="s">
        <v>352</v>
      </c>
      <c r="I120" s="2" t="s">
        <v>449</v>
      </c>
    </row>
    <row r="121">
      <c r="A121" s="5">
        <v>46290.54598972222</v>
      </c>
      <c r="B121" s="2" t="s">
        <v>433</v>
      </c>
      <c r="C121" s="2" t="s">
        <v>450</v>
      </c>
      <c r="D121" s="2" t="s">
        <v>451</v>
      </c>
      <c r="E121" s="7" t="s">
        <v>452</v>
      </c>
      <c r="F121" s="2">
        <v>500.0</v>
      </c>
      <c r="G121" s="2" t="s">
        <v>123</v>
      </c>
      <c r="H121" s="2" t="s">
        <v>352</v>
      </c>
      <c r="I121" s="2" t="s">
        <v>453</v>
      </c>
    </row>
    <row r="122">
      <c r="A122" s="20">
        <v>46292.0</v>
      </c>
      <c r="B122" s="2" t="s">
        <v>454</v>
      </c>
      <c r="C122" s="2" t="s">
        <v>455</v>
      </c>
      <c r="D122" s="2" t="s">
        <v>456</v>
      </c>
      <c r="E122" s="7" t="s">
        <v>457</v>
      </c>
      <c r="F122" s="21">
        <v>100.0</v>
      </c>
      <c r="G122" s="2" t="s">
        <v>123</v>
      </c>
      <c r="H122" s="2" t="s">
        <v>352</v>
      </c>
      <c r="I122" s="2" t="s">
        <v>458</v>
      </c>
    </row>
    <row r="123">
      <c r="A123" s="20">
        <v>46292.0</v>
      </c>
      <c r="B123" s="2" t="s">
        <v>454</v>
      </c>
      <c r="C123" s="2" t="s">
        <v>459</v>
      </c>
      <c r="D123" s="2" t="s">
        <v>460</v>
      </c>
      <c r="E123" s="7" t="s">
        <v>461</v>
      </c>
      <c r="F123" s="21">
        <v>200.0</v>
      </c>
      <c r="G123" s="2" t="s">
        <v>123</v>
      </c>
      <c r="H123" s="2" t="s">
        <v>352</v>
      </c>
      <c r="I123" s="2" t="s">
        <v>462</v>
      </c>
    </row>
    <row r="124">
      <c r="A124" s="20">
        <v>46292.0</v>
      </c>
      <c r="B124" s="2" t="s">
        <v>454</v>
      </c>
      <c r="C124" s="2" t="s">
        <v>463</v>
      </c>
      <c r="D124" s="2" t="s">
        <v>464</v>
      </c>
      <c r="E124" s="7" t="s">
        <v>465</v>
      </c>
      <c r="F124" s="21">
        <v>300.0</v>
      </c>
      <c r="G124" s="2" t="s">
        <v>123</v>
      </c>
      <c r="H124" s="2" t="s">
        <v>352</v>
      </c>
      <c r="I124" s="2" t="s">
        <v>466</v>
      </c>
    </row>
    <row r="125">
      <c r="A125" s="20">
        <v>46292.0</v>
      </c>
      <c r="B125" s="2" t="s">
        <v>454</v>
      </c>
      <c r="C125" s="2" t="s">
        <v>467</v>
      </c>
      <c r="D125" s="2" t="s">
        <v>468</v>
      </c>
      <c r="E125" s="7" t="s">
        <v>469</v>
      </c>
      <c r="F125" s="21">
        <v>400.0</v>
      </c>
      <c r="G125" s="2" t="s">
        <v>123</v>
      </c>
      <c r="H125" s="2" t="s">
        <v>352</v>
      </c>
      <c r="I125" s="2" t="s">
        <v>470</v>
      </c>
    </row>
    <row r="126">
      <c r="A126" s="20">
        <v>46292.0</v>
      </c>
      <c r="B126" s="2" t="s">
        <v>454</v>
      </c>
      <c r="C126" s="2" t="s">
        <v>471</v>
      </c>
      <c r="D126" s="2" t="s">
        <v>472</v>
      </c>
      <c r="E126" s="7" t="s">
        <v>473</v>
      </c>
      <c r="F126" s="21">
        <v>500.0</v>
      </c>
      <c r="G126" s="2" t="s">
        <v>123</v>
      </c>
      <c r="H126" s="2" t="s">
        <v>352</v>
      </c>
      <c r="I126" s="2" t="s">
        <v>474</v>
      </c>
    </row>
    <row r="127">
      <c r="A127" s="20">
        <v>46292.0</v>
      </c>
      <c r="B127" s="2" t="s">
        <v>475</v>
      </c>
      <c r="C127" s="2" t="s">
        <v>476</v>
      </c>
      <c r="D127" s="2" t="s">
        <v>477</v>
      </c>
      <c r="E127" s="7" t="s">
        <v>478</v>
      </c>
      <c r="F127" s="21">
        <v>100.0</v>
      </c>
      <c r="G127" s="2" t="s">
        <v>123</v>
      </c>
      <c r="H127" s="2" t="s">
        <v>352</v>
      </c>
      <c r="I127" s="2" t="s">
        <v>479</v>
      </c>
    </row>
    <row r="128">
      <c r="A128" s="20">
        <v>46292.0</v>
      </c>
      <c r="B128" s="2" t="s">
        <v>475</v>
      </c>
      <c r="C128" s="2" t="s">
        <v>480</v>
      </c>
      <c r="D128" s="2" t="s">
        <v>481</v>
      </c>
      <c r="E128" s="7" t="s">
        <v>482</v>
      </c>
      <c r="F128" s="21">
        <v>200.0</v>
      </c>
      <c r="G128" s="2" t="s">
        <v>123</v>
      </c>
      <c r="H128" s="2" t="s">
        <v>352</v>
      </c>
      <c r="I128" s="2" t="s">
        <v>483</v>
      </c>
    </row>
    <row r="129">
      <c r="A129" s="20">
        <v>46292.0</v>
      </c>
      <c r="B129" s="2" t="s">
        <v>475</v>
      </c>
      <c r="C129" s="2" t="s">
        <v>484</v>
      </c>
      <c r="D129" s="2" t="s">
        <v>485</v>
      </c>
      <c r="E129" s="7" t="s">
        <v>486</v>
      </c>
      <c r="F129" s="21">
        <v>300.0</v>
      </c>
      <c r="G129" s="2" t="s">
        <v>123</v>
      </c>
      <c r="H129" s="2" t="s">
        <v>352</v>
      </c>
      <c r="I129" s="2" t="s">
        <v>487</v>
      </c>
    </row>
    <row r="130">
      <c r="A130" s="20">
        <v>46292.0</v>
      </c>
      <c r="B130" s="2" t="s">
        <v>475</v>
      </c>
      <c r="C130" s="2" t="s">
        <v>488</v>
      </c>
      <c r="D130" s="2" t="s">
        <v>489</v>
      </c>
      <c r="E130" s="7" t="s">
        <v>490</v>
      </c>
      <c r="F130" s="21">
        <v>400.0</v>
      </c>
      <c r="G130" s="2" t="s">
        <v>123</v>
      </c>
      <c r="H130" s="2" t="s">
        <v>352</v>
      </c>
      <c r="I130" s="2" t="s">
        <v>491</v>
      </c>
    </row>
    <row r="131">
      <c r="A131" s="20">
        <v>46292.0</v>
      </c>
      <c r="B131" s="2" t="s">
        <v>475</v>
      </c>
      <c r="C131" s="2" t="s">
        <v>492</v>
      </c>
      <c r="D131" s="2" t="s">
        <v>493</v>
      </c>
      <c r="E131" s="2"/>
      <c r="F131" s="21">
        <v>500.0</v>
      </c>
      <c r="G131" s="2" t="s">
        <v>123</v>
      </c>
      <c r="H131" s="2" t="s">
        <v>352</v>
      </c>
      <c r="I131" s="2" t="s">
        <v>494</v>
      </c>
    </row>
    <row r="132">
      <c r="A132" s="20">
        <v>46292.0</v>
      </c>
      <c r="B132" s="2" t="s">
        <v>495</v>
      </c>
      <c r="C132" s="2" t="s">
        <v>496</v>
      </c>
      <c r="D132" s="2" t="s">
        <v>497</v>
      </c>
      <c r="E132" s="7" t="s">
        <v>498</v>
      </c>
      <c r="F132" s="21">
        <v>100.0</v>
      </c>
      <c r="G132" s="2" t="s">
        <v>123</v>
      </c>
      <c r="H132" s="2" t="s">
        <v>352</v>
      </c>
      <c r="I132" s="2" t="s">
        <v>499</v>
      </c>
    </row>
    <row r="133">
      <c r="A133" s="20">
        <v>46292.0</v>
      </c>
      <c r="B133" s="2" t="s">
        <v>495</v>
      </c>
      <c r="C133" s="2" t="s">
        <v>500</v>
      </c>
      <c r="D133" s="2" t="s">
        <v>501</v>
      </c>
      <c r="E133" s="7" t="s">
        <v>502</v>
      </c>
      <c r="F133" s="21">
        <v>200.0</v>
      </c>
      <c r="G133" s="2" t="s">
        <v>123</v>
      </c>
      <c r="H133" s="2" t="s">
        <v>352</v>
      </c>
      <c r="I133" s="2" t="s">
        <v>503</v>
      </c>
    </row>
    <row r="134">
      <c r="A134" s="20">
        <v>46292.0</v>
      </c>
      <c r="B134" s="2" t="s">
        <v>495</v>
      </c>
      <c r="C134" s="2" t="s">
        <v>504</v>
      </c>
      <c r="D134" s="2" t="s">
        <v>505</v>
      </c>
      <c r="E134" s="7" t="s">
        <v>506</v>
      </c>
      <c r="F134" s="21">
        <v>300.0</v>
      </c>
      <c r="G134" s="2" t="s">
        <v>123</v>
      </c>
      <c r="H134" s="2" t="s">
        <v>352</v>
      </c>
      <c r="I134" s="2" t="s">
        <v>507</v>
      </c>
    </row>
    <row r="135">
      <c r="A135" s="20">
        <v>46292.0</v>
      </c>
      <c r="B135" s="2" t="s">
        <v>495</v>
      </c>
      <c r="C135" s="2" t="s">
        <v>508</v>
      </c>
      <c r="D135" s="2" t="s">
        <v>509</v>
      </c>
      <c r="E135" s="7" t="s">
        <v>510</v>
      </c>
      <c r="F135" s="21">
        <v>400.0</v>
      </c>
      <c r="G135" s="2" t="s">
        <v>123</v>
      </c>
      <c r="H135" s="2" t="s">
        <v>352</v>
      </c>
      <c r="I135" s="2" t="s">
        <v>511</v>
      </c>
    </row>
    <row r="136">
      <c r="A136" s="20">
        <v>46292.0</v>
      </c>
      <c r="B136" s="2" t="s">
        <v>495</v>
      </c>
      <c r="C136" s="2" t="s">
        <v>512</v>
      </c>
      <c r="D136" s="2" t="s">
        <v>513</v>
      </c>
      <c r="E136" s="7" t="s">
        <v>514</v>
      </c>
      <c r="F136" s="21">
        <v>500.0</v>
      </c>
      <c r="G136" s="2" t="s">
        <v>123</v>
      </c>
      <c r="H136" s="2" t="s">
        <v>352</v>
      </c>
      <c r="I136" s="2" t="s">
        <v>515</v>
      </c>
    </row>
    <row r="137">
      <c r="A137" s="20">
        <v>46292.0</v>
      </c>
      <c r="B137" s="2" t="s">
        <v>516</v>
      </c>
      <c r="C137" s="2" t="s">
        <v>517</v>
      </c>
      <c r="D137" s="2" t="s">
        <v>518</v>
      </c>
      <c r="E137" s="7" t="s">
        <v>519</v>
      </c>
      <c r="F137" s="21">
        <v>100.0</v>
      </c>
      <c r="G137" s="2" t="s">
        <v>123</v>
      </c>
      <c r="H137" s="2" t="s">
        <v>352</v>
      </c>
      <c r="I137" s="2" t="s">
        <v>520</v>
      </c>
    </row>
    <row r="138">
      <c r="A138" s="20">
        <v>46292.0</v>
      </c>
      <c r="B138" s="2" t="s">
        <v>516</v>
      </c>
      <c r="C138" s="2" t="s">
        <v>521</v>
      </c>
      <c r="D138" s="2" t="s">
        <v>522</v>
      </c>
      <c r="E138" s="7" t="s">
        <v>523</v>
      </c>
      <c r="F138" s="21">
        <v>200.0</v>
      </c>
      <c r="G138" s="2" t="s">
        <v>123</v>
      </c>
      <c r="H138" s="2" t="s">
        <v>352</v>
      </c>
      <c r="I138" s="2" t="s">
        <v>524</v>
      </c>
    </row>
    <row r="139">
      <c r="A139" s="20">
        <v>46292.0</v>
      </c>
      <c r="B139" s="2" t="s">
        <v>516</v>
      </c>
      <c r="C139" s="2" t="s">
        <v>525</v>
      </c>
      <c r="D139" s="2" t="s">
        <v>526</v>
      </c>
      <c r="E139" s="7" t="s">
        <v>527</v>
      </c>
      <c r="F139" s="21">
        <v>300.0</v>
      </c>
      <c r="G139" s="2" t="s">
        <v>123</v>
      </c>
      <c r="H139" s="2" t="s">
        <v>352</v>
      </c>
      <c r="I139" s="2" t="s">
        <v>528</v>
      </c>
    </row>
    <row r="140">
      <c r="A140" s="20">
        <v>46292.0</v>
      </c>
      <c r="B140" s="2" t="s">
        <v>516</v>
      </c>
      <c r="C140" s="2" t="s">
        <v>529</v>
      </c>
      <c r="D140" s="2" t="s">
        <v>530</v>
      </c>
      <c r="E140" s="7" t="s">
        <v>531</v>
      </c>
      <c r="F140" s="21">
        <v>400.0</v>
      </c>
      <c r="G140" s="2" t="s">
        <v>123</v>
      </c>
      <c r="H140" s="2" t="s">
        <v>352</v>
      </c>
      <c r="I140" s="2" t="s">
        <v>532</v>
      </c>
    </row>
    <row r="141">
      <c r="A141" s="20">
        <v>46292.0</v>
      </c>
      <c r="B141" s="2" t="s">
        <v>516</v>
      </c>
      <c r="C141" s="2" t="s">
        <v>533</v>
      </c>
      <c r="D141" s="2" t="s">
        <v>534</v>
      </c>
      <c r="E141" s="2"/>
      <c r="F141" s="21">
        <v>500.0</v>
      </c>
      <c r="G141" s="2" t="s">
        <v>123</v>
      </c>
      <c r="H141" s="2"/>
      <c r="I141" s="2" t="s">
        <v>535</v>
      </c>
    </row>
    <row r="142">
      <c r="A142" s="20">
        <v>46292.0</v>
      </c>
      <c r="B142" s="2" t="s">
        <v>536</v>
      </c>
      <c r="C142" s="2" t="s">
        <v>537</v>
      </c>
      <c r="D142" s="2" t="s">
        <v>538</v>
      </c>
      <c r="E142" s="7" t="s">
        <v>539</v>
      </c>
      <c r="F142" s="21">
        <v>100.0</v>
      </c>
      <c r="G142" s="2" t="s">
        <v>123</v>
      </c>
      <c r="H142" s="7" t="s">
        <v>540</v>
      </c>
      <c r="I142" s="2" t="s">
        <v>541</v>
      </c>
    </row>
    <row r="143">
      <c r="A143" s="20">
        <v>46292.0</v>
      </c>
      <c r="B143" s="2" t="s">
        <v>536</v>
      </c>
      <c r="C143" s="2" t="s">
        <v>542</v>
      </c>
      <c r="D143" s="2" t="s">
        <v>543</v>
      </c>
      <c r="E143" s="7" t="s">
        <v>539</v>
      </c>
      <c r="F143" s="21">
        <v>200.0</v>
      </c>
      <c r="G143" s="2" t="s">
        <v>123</v>
      </c>
      <c r="H143" s="7" t="s">
        <v>540</v>
      </c>
      <c r="I143" s="2" t="s">
        <v>544</v>
      </c>
    </row>
    <row r="144">
      <c r="A144" s="20">
        <v>46292.0</v>
      </c>
      <c r="B144" s="2" t="s">
        <v>536</v>
      </c>
      <c r="C144" s="2" t="s">
        <v>545</v>
      </c>
      <c r="D144" s="2" t="s">
        <v>546</v>
      </c>
      <c r="E144" s="7" t="s">
        <v>547</v>
      </c>
      <c r="F144" s="21">
        <v>300.0</v>
      </c>
      <c r="G144" s="2" t="s">
        <v>123</v>
      </c>
      <c r="H144" s="7" t="s">
        <v>540</v>
      </c>
      <c r="I144" s="2" t="s">
        <v>548</v>
      </c>
    </row>
    <row r="145">
      <c r="A145" s="20">
        <v>46292.0</v>
      </c>
      <c r="B145" s="2" t="s">
        <v>536</v>
      </c>
      <c r="C145" s="2" t="s">
        <v>549</v>
      </c>
      <c r="D145" s="2" t="s">
        <v>550</v>
      </c>
      <c r="E145" s="7" t="s">
        <v>547</v>
      </c>
      <c r="F145" s="21">
        <v>400.0</v>
      </c>
      <c r="G145" s="2" t="s">
        <v>123</v>
      </c>
      <c r="H145" s="7" t="s">
        <v>540</v>
      </c>
      <c r="I145" s="2" t="s">
        <v>551</v>
      </c>
    </row>
    <row r="146">
      <c r="A146" s="20">
        <v>46292.0</v>
      </c>
      <c r="B146" s="2" t="s">
        <v>536</v>
      </c>
      <c r="C146" s="2" t="s">
        <v>552</v>
      </c>
      <c r="D146" s="2" t="s">
        <v>553</v>
      </c>
      <c r="E146" s="7" t="s">
        <v>547</v>
      </c>
      <c r="F146" s="21">
        <v>500.0</v>
      </c>
      <c r="G146" s="2" t="s">
        <v>123</v>
      </c>
      <c r="H146" s="7" t="s">
        <v>540</v>
      </c>
      <c r="I146" s="2" t="s">
        <v>554</v>
      </c>
    </row>
    <row r="147">
      <c r="A147" s="20">
        <v>46292.0</v>
      </c>
      <c r="B147" s="2" t="s">
        <v>555</v>
      </c>
      <c r="C147" s="2" t="s">
        <v>556</v>
      </c>
      <c r="D147" s="2" t="s">
        <v>557</v>
      </c>
      <c r="E147" s="2" t="s">
        <v>558</v>
      </c>
      <c r="F147" s="21">
        <v>300.0</v>
      </c>
      <c r="G147" s="2" t="s">
        <v>123</v>
      </c>
      <c r="H147" s="2"/>
      <c r="I147" s="2" t="s">
        <v>559</v>
      </c>
    </row>
    <row r="148">
      <c r="A148" s="20">
        <v>46292.0</v>
      </c>
      <c r="B148" s="2" t="s">
        <v>555</v>
      </c>
      <c r="C148" s="2" t="s">
        <v>560</v>
      </c>
      <c r="D148" s="2" t="s">
        <v>561</v>
      </c>
      <c r="E148" s="2" t="s">
        <v>562</v>
      </c>
      <c r="F148" s="21">
        <v>300.0</v>
      </c>
      <c r="G148" s="2" t="s">
        <v>123</v>
      </c>
      <c r="H148" s="2"/>
      <c r="I148" s="2" t="s">
        <v>559</v>
      </c>
    </row>
    <row r="149">
      <c r="A149" s="20">
        <v>46292.0</v>
      </c>
      <c r="B149" s="2" t="s">
        <v>555</v>
      </c>
      <c r="C149" s="2" t="s">
        <v>563</v>
      </c>
      <c r="D149" s="2" t="s">
        <v>564</v>
      </c>
      <c r="E149" s="2" t="s">
        <v>565</v>
      </c>
      <c r="F149" s="21">
        <v>500.0</v>
      </c>
      <c r="G149" s="2" t="s">
        <v>123</v>
      </c>
      <c r="H149" s="2"/>
      <c r="I149" s="2" t="s">
        <v>566</v>
      </c>
    </row>
    <row r="150">
      <c r="A150" s="20">
        <v>46292.0</v>
      </c>
      <c r="B150" s="2" t="s">
        <v>555</v>
      </c>
      <c r="C150" s="2" t="s">
        <v>567</v>
      </c>
      <c r="D150" s="2" t="s">
        <v>568</v>
      </c>
      <c r="E150" s="2" t="s">
        <v>569</v>
      </c>
      <c r="F150" s="21">
        <v>200.0</v>
      </c>
      <c r="G150" s="2" t="s">
        <v>123</v>
      </c>
      <c r="H150" s="2"/>
      <c r="I150" s="2" t="s">
        <v>570</v>
      </c>
    </row>
    <row r="151">
      <c r="A151" s="20">
        <v>46292.0</v>
      </c>
      <c r="B151" s="2" t="s">
        <v>555</v>
      </c>
      <c r="C151" s="2" t="s">
        <v>571</v>
      </c>
      <c r="D151" s="2" t="s">
        <v>572</v>
      </c>
      <c r="E151" s="2" t="s">
        <v>565</v>
      </c>
      <c r="F151" s="21">
        <v>400.0</v>
      </c>
      <c r="G151" s="2" t="s">
        <v>123</v>
      </c>
      <c r="H151" s="2"/>
      <c r="I151" s="2" t="s">
        <v>573</v>
      </c>
    </row>
    <row r="152">
      <c r="A152" s="20">
        <v>46292.0</v>
      </c>
      <c r="B152" s="2" t="s">
        <v>574</v>
      </c>
      <c r="C152" s="2" t="s">
        <v>575</v>
      </c>
      <c r="D152" s="2" t="s">
        <v>576</v>
      </c>
      <c r="E152" s="2" t="s">
        <v>577</v>
      </c>
      <c r="F152" s="21">
        <v>200.0</v>
      </c>
      <c r="G152" s="2" t="s">
        <v>123</v>
      </c>
      <c r="H152" s="2"/>
      <c r="I152" s="2" t="s">
        <v>578</v>
      </c>
    </row>
    <row r="153">
      <c r="A153" s="20">
        <v>46292.0</v>
      </c>
      <c r="B153" s="2" t="s">
        <v>574</v>
      </c>
      <c r="C153" s="2" t="s">
        <v>579</v>
      </c>
      <c r="D153" s="2" t="s">
        <v>580</v>
      </c>
      <c r="E153" s="2" t="s">
        <v>581</v>
      </c>
      <c r="F153" s="21">
        <v>500.0</v>
      </c>
      <c r="G153" s="2" t="s">
        <v>123</v>
      </c>
      <c r="H153" s="2"/>
      <c r="I153" s="2" t="s">
        <v>566</v>
      </c>
    </row>
    <row r="154">
      <c r="A154" s="20">
        <v>46292.0</v>
      </c>
      <c r="B154" s="2" t="s">
        <v>574</v>
      </c>
      <c r="C154" s="2" t="s">
        <v>582</v>
      </c>
      <c r="D154" s="2" t="s">
        <v>583</v>
      </c>
      <c r="E154" s="2" t="s">
        <v>581</v>
      </c>
      <c r="F154" s="21">
        <v>300.0</v>
      </c>
      <c r="G154" s="2" t="s">
        <v>123</v>
      </c>
      <c r="H154" s="2"/>
      <c r="I154" s="2" t="s">
        <v>584</v>
      </c>
    </row>
    <row r="155">
      <c r="A155" s="20">
        <v>46292.0</v>
      </c>
      <c r="B155" s="2" t="s">
        <v>574</v>
      </c>
      <c r="C155" s="2" t="s">
        <v>585</v>
      </c>
      <c r="D155" s="2" t="s">
        <v>586</v>
      </c>
      <c r="E155" s="2" t="s">
        <v>587</v>
      </c>
      <c r="F155" s="21">
        <v>400.0</v>
      </c>
      <c r="G155" s="2" t="s">
        <v>123</v>
      </c>
      <c r="H155" s="2"/>
      <c r="I155" s="2" t="s">
        <v>588</v>
      </c>
    </row>
    <row r="156">
      <c r="A156" s="20">
        <v>46292.0</v>
      </c>
      <c r="B156" s="2" t="s">
        <v>574</v>
      </c>
      <c r="C156" s="2" t="s">
        <v>589</v>
      </c>
      <c r="D156" s="2" t="s">
        <v>590</v>
      </c>
      <c r="E156" s="2" t="s">
        <v>591</v>
      </c>
      <c r="F156" s="21">
        <v>500.0</v>
      </c>
      <c r="G156" s="2" t="s">
        <v>123</v>
      </c>
      <c r="H156" s="2"/>
      <c r="I156" s="2" t="s">
        <v>592</v>
      </c>
    </row>
    <row r="157">
      <c r="A157" s="20">
        <v>46292.0</v>
      </c>
      <c r="B157" s="2" t="s">
        <v>593</v>
      </c>
      <c r="C157" s="2" t="s">
        <v>594</v>
      </c>
      <c r="D157" s="2" t="s">
        <v>595</v>
      </c>
      <c r="E157" s="2" t="s">
        <v>581</v>
      </c>
      <c r="F157" s="21">
        <v>200.0</v>
      </c>
      <c r="G157" s="2" t="s">
        <v>123</v>
      </c>
      <c r="H157" s="2"/>
      <c r="I157" s="2" t="s">
        <v>596</v>
      </c>
    </row>
    <row r="158">
      <c r="A158" s="20">
        <v>46292.0</v>
      </c>
      <c r="B158" s="2" t="s">
        <v>593</v>
      </c>
      <c r="C158" s="2" t="s">
        <v>597</v>
      </c>
      <c r="D158" s="2" t="s">
        <v>598</v>
      </c>
      <c r="E158" s="2" t="s">
        <v>581</v>
      </c>
      <c r="F158" s="21">
        <v>300.0</v>
      </c>
      <c r="G158" s="2" t="s">
        <v>123</v>
      </c>
      <c r="H158" s="2"/>
      <c r="I158" s="2" t="s">
        <v>599</v>
      </c>
    </row>
    <row r="159">
      <c r="A159" s="20">
        <v>46292.0</v>
      </c>
      <c r="B159" s="2" t="s">
        <v>593</v>
      </c>
      <c r="C159" s="2" t="s">
        <v>600</v>
      </c>
      <c r="D159" s="2" t="s">
        <v>601</v>
      </c>
      <c r="E159" s="2" t="s">
        <v>602</v>
      </c>
      <c r="F159" s="21">
        <v>500.0</v>
      </c>
      <c r="G159" s="2" t="s">
        <v>123</v>
      </c>
      <c r="H159" s="2"/>
      <c r="I159" s="2" t="s">
        <v>566</v>
      </c>
    </row>
    <row r="160">
      <c r="A160" s="20">
        <v>46292.0</v>
      </c>
      <c r="B160" s="2" t="s">
        <v>593</v>
      </c>
      <c r="C160" s="2" t="s">
        <v>603</v>
      </c>
      <c r="D160" s="2" t="s">
        <v>604</v>
      </c>
      <c r="E160" s="2" t="s">
        <v>581</v>
      </c>
      <c r="F160" s="21">
        <v>400.0</v>
      </c>
      <c r="G160" s="2" t="s">
        <v>123</v>
      </c>
      <c r="H160" s="2"/>
      <c r="I160" s="2" t="s">
        <v>605</v>
      </c>
    </row>
    <row r="161">
      <c r="A161" s="20">
        <v>46292.0</v>
      </c>
      <c r="B161" s="2" t="s">
        <v>593</v>
      </c>
      <c r="C161" s="2" t="s">
        <v>606</v>
      </c>
      <c r="D161" s="2" t="s">
        <v>607</v>
      </c>
      <c r="E161" s="2" t="s">
        <v>608</v>
      </c>
      <c r="F161" s="21">
        <v>100.0</v>
      </c>
      <c r="G161" s="2" t="s">
        <v>123</v>
      </c>
      <c r="H161" s="2"/>
      <c r="I161" s="2" t="s">
        <v>609</v>
      </c>
    </row>
    <row r="162">
      <c r="A162" s="20">
        <v>46292.0</v>
      </c>
      <c r="B162" s="2" t="s">
        <v>610</v>
      </c>
      <c r="C162" s="2" t="s">
        <v>611</v>
      </c>
      <c r="D162" s="2" t="s">
        <v>612</v>
      </c>
      <c r="E162" s="2" t="s">
        <v>613</v>
      </c>
      <c r="F162" s="21">
        <v>100.0</v>
      </c>
      <c r="G162" s="2" t="s">
        <v>123</v>
      </c>
      <c r="H162" s="2"/>
      <c r="I162" s="2" t="s">
        <v>614</v>
      </c>
    </row>
    <row r="163">
      <c r="A163" s="20">
        <v>46292.0</v>
      </c>
      <c r="B163" s="2" t="s">
        <v>610</v>
      </c>
      <c r="C163" s="2" t="s">
        <v>615</v>
      </c>
      <c r="D163" s="2" t="s">
        <v>616</v>
      </c>
      <c r="E163" s="2" t="s">
        <v>565</v>
      </c>
      <c r="F163" s="21">
        <v>400.0</v>
      </c>
      <c r="G163" s="2" t="s">
        <v>123</v>
      </c>
      <c r="H163" s="2"/>
      <c r="I163" s="2" t="s">
        <v>617</v>
      </c>
    </row>
    <row r="164">
      <c r="A164" s="20">
        <v>46292.0</v>
      </c>
      <c r="B164" s="2" t="s">
        <v>610</v>
      </c>
      <c r="C164" s="2" t="s">
        <v>618</v>
      </c>
      <c r="D164" s="2" t="s">
        <v>619</v>
      </c>
      <c r="E164" s="2" t="s">
        <v>620</v>
      </c>
      <c r="F164" s="21">
        <v>300.0</v>
      </c>
      <c r="G164" s="2" t="s">
        <v>123</v>
      </c>
      <c r="H164" s="2"/>
      <c r="I164" s="2" t="s">
        <v>621</v>
      </c>
    </row>
    <row r="165">
      <c r="A165" s="20">
        <v>46292.0</v>
      </c>
      <c r="B165" s="2" t="s">
        <v>610</v>
      </c>
      <c r="C165" s="2" t="s">
        <v>622</v>
      </c>
      <c r="D165" s="2" t="s">
        <v>623</v>
      </c>
      <c r="E165" s="2" t="s">
        <v>624</v>
      </c>
      <c r="F165" s="21">
        <v>500.0</v>
      </c>
      <c r="G165" s="2" t="s">
        <v>123</v>
      </c>
      <c r="H165" s="2"/>
      <c r="I165" s="2" t="s">
        <v>566</v>
      </c>
    </row>
    <row r="166">
      <c r="A166" s="20">
        <v>46292.0</v>
      </c>
      <c r="B166" s="2" t="s">
        <v>610</v>
      </c>
      <c r="C166" s="2" t="s">
        <v>625</v>
      </c>
      <c r="D166" s="2" t="s">
        <v>626</v>
      </c>
      <c r="E166" s="2" t="s">
        <v>627</v>
      </c>
      <c r="F166" s="21">
        <v>200.0</v>
      </c>
      <c r="G166" s="2" t="s">
        <v>123</v>
      </c>
      <c r="H166" s="2"/>
      <c r="I166" s="2" t="s">
        <v>628</v>
      </c>
    </row>
    <row r="167">
      <c r="A167" s="20">
        <v>46292.0</v>
      </c>
      <c r="B167" s="2" t="s">
        <v>629</v>
      </c>
      <c r="C167" s="2" t="s">
        <v>630</v>
      </c>
      <c r="D167" s="2" t="s">
        <v>631</v>
      </c>
      <c r="E167" s="2" t="s">
        <v>581</v>
      </c>
      <c r="F167" s="21">
        <v>400.0</v>
      </c>
      <c r="G167" s="2" t="s">
        <v>123</v>
      </c>
      <c r="H167" s="2"/>
      <c r="I167" s="2" t="s">
        <v>632</v>
      </c>
    </row>
    <row r="168">
      <c r="A168" s="20">
        <v>46292.0</v>
      </c>
      <c r="B168" s="2" t="s">
        <v>629</v>
      </c>
      <c r="C168" s="2" t="s">
        <v>633</v>
      </c>
      <c r="D168" s="2" t="s">
        <v>634</v>
      </c>
      <c r="E168" s="2" t="s">
        <v>635</v>
      </c>
      <c r="F168" s="21">
        <v>100.0</v>
      </c>
      <c r="G168" s="2" t="s">
        <v>123</v>
      </c>
      <c r="H168" s="2"/>
      <c r="I168" s="2" t="s">
        <v>636</v>
      </c>
    </row>
    <row r="169">
      <c r="A169" s="20">
        <v>46292.0</v>
      </c>
      <c r="B169" s="2" t="s">
        <v>629</v>
      </c>
      <c r="C169" s="2" t="s">
        <v>637</v>
      </c>
      <c r="D169" s="2" t="s">
        <v>638</v>
      </c>
      <c r="E169" s="2" t="s">
        <v>639</v>
      </c>
      <c r="F169" s="21">
        <v>500.0</v>
      </c>
      <c r="G169" s="2" t="s">
        <v>123</v>
      </c>
      <c r="H169" s="2"/>
      <c r="I169" s="2" t="s">
        <v>640</v>
      </c>
    </row>
    <row r="170">
      <c r="A170" s="20">
        <v>46292.0</v>
      </c>
      <c r="B170" s="2" t="s">
        <v>629</v>
      </c>
      <c r="C170" s="2" t="s">
        <v>641</v>
      </c>
      <c r="D170" s="2" t="s">
        <v>642</v>
      </c>
      <c r="E170" s="2" t="s">
        <v>565</v>
      </c>
      <c r="F170" s="21">
        <v>300.0</v>
      </c>
      <c r="G170" s="2" t="s">
        <v>123</v>
      </c>
      <c r="H170" s="2"/>
      <c r="I170" s="2" t="s">
        <v>632</v>
      </c>
    </row>
    <row r="171">
      <c r="A171" s="20">
        <v>46292.0</v>
      </c>
      <c r="B171" s="2" t="s">
        <v>629</v>
      </c>
      <c r="C171" s="2" t="s">
        <v>643</v>
      </c>
      <c r="D171" s="2" t="s">
        <v>644</v>
      </c>
      <c r="E171" s="2" t="s">
        <v>620</v>
      </c>
      <c r="F171" s="21">
        <v>200.0</v>
      </c>
      <c r="G171" s="2" t="s">
        <v>123</v>
      </c>
      <c r="H171" s="2"/>
      <c r="I171" s="2" t="s">
        <v>645</v>
      </c>
    </row>
    <row r="172">
      <c r="A172" s="5"/>
      <c r="B172" s="2"/>
      <c r="C172" s="2" t="s">
        <v>646</v>
      </c>
      <c r="D172" s="2"/>
      <c r="E172" s="2"/>
      <c r="F172" s="2"/>
      <c r="G172" s="2"/>
      <c r="H172" s="2"/>
      <c r="I172" s="2"/>
    </row>
    <row r="173">
      <c r="A173" s="5"/>
      <c r="B173" s="2"/>
      <c r="C173" s="2" t="s">
        <v>646</v>
      </c>
      <c r="D173" s="2"/>
      <c r="E173" s="2"/>
      <c r="F173" s="2"/>
      <c r="G173" s="2"/>
      <c r="H173" s="2"/>
      <c r="I173" s="2"/>
    </row>
    <row r="174">
      <c r="A174" s="5"/>
      <c r="B174" s="2"/>
      <c r="C174" s="2" t="s">
        <v>646</v>
      </c>
      <c r="D174" s="2"/>
      <c r="E174" s="2"/>
      <c r="F174" s="2"/>
      <c r="G174" s="2"/>
      <c r="H174" s="2"/>
      <c r="I174" s="2"/>
    </row>
    <row r="175">
      <c r="A175" s="5"/>
      <c r="B175" s="2"/>
      <c r="C175" s="2" t="s">
        <v>646</v>
      </c>
      <c r="D175" s="2"/>
      <c r="E175" s="2"/>
      <c r="F175" s="2"/>
      <c r="G175" s="2"/>
      <c r="H175" s="2"/>
      <c r="I175" s="2"/>
    </row>
    <row r="176">
      <c r="A176" s="5"/>
      <c r="B176" s="2"/>
      <c r="C176" s="2" t="s">
        <v>646</v>
      </c>
      <c r="D176" s="2"/>
      <c r="E176" s="2"/>
      <c r="F176" s="2"/>
      <c r="G176" s="2"/>
      <c r="H176" s="2"/>
      <c r="I176" s="2"/>
    </row>
    <row r="177">
      <c r="A177" s="5"/>
      <c r="B177" s="2"/>
      <c r="C177" s="2" t="s">
        <v>646</v>
      </c>
      <c r="D177" s="2"/>
      <c r="E177" s="2"/>
      <c r="F177" s="2"/>
      <c r="G177" s="2"/>
      <c r="H177" s="2"/>
      <c r="I177" s="2"/>
    </row>
    <row r="178">
      <c r="A178" s="5"/>
      <c r="B178" s="2"/>
      <c r="C178" s="2" t="s">
        <v>646</v>
      </c>
      <c r="D178" s="2"/>
      <c r="E178" s="2"/>
      <c r="F178" s="2"/>
      <c r="G178" s="2"/>
      <c r="H178" s="2"/>
      <c r="I178" s="2"/>
    </row>
    <row r="179">
      <c r="A179" s="5"/>
      <c r="B179" s="2"/>
      <c r="C179" s="2" t="s">
        <v>646</v>
      </c>
      <c r="D179" s="2"/>
      <c r="E179" s="2"/>
      <c r="F179" s="2"/>
      <c r="G179" s="2"/>
      <c r="H179" s="2"/>
      <c r="I179" s="2"/>
    </row>
    <row r="180">
      <c r="A180" s="5"/>
      <c r="B180" s="2"/>
      <c r="C180" s="2" t="s">
        <v>646</v>
      </c>
      <c r="D180" s="2"/>
      <c r="E180" s="2"/>
      <c r="F180" s="2"/>
      <c r="G180" s="2"/>
      <c r="H180" s="2"/>
      <c r="I180" s="2"/>
    </row>
    <row r="181">
      <c r="A181" s="5"/>
      <c r="B181" s="2"/>
      <c r="C181" s="2" t="s">
        <v>646</v>
      </c>
      <c r="D181" s="2"/>
      <c r="E181" s="2"/>
      <c r="F181" s="2"/>
      <c r="G181" s="2"/>
      <c r="H181" s="2"/>
      <c r="I181" s="2"/>
    </row>
    <row r="182">
      <c r="A182" s="5"/>
      <c r="B182" s="2"/>
      <c r="C182" s="2" t="s">
        <v>646</v>
      </c>
      <c r="D182" s="2"/>
      <c r="E182" s="2"/>
      <c r="F182" s="2"/>
      <c r="G182" s="2"/>
      <c r="H182" s="2"/>
      <c r="I182" s="2"/>
    </row>
    <row r="183">
      <c r="A183" s="5"/>
      <c r="B183" s="2"/>
      <c r="C183" s="2" t="s">
        <v>646</v>
      </c>
      <c r="D183" s="2"/>
      <c r="E183" s="2"/>
      <c r="F183" s="2"/>
      <c r="G183" s="2"/>
      <c r="H183" s="2"/>
      <c r="I183" s="2"/>
    </row>
    <row r="184">
      <c r="A184" s="5"/>
      <c r="B184" s="2"/>
      <c r="C184" s="2" t="s">
        <v>646</v>
      </c>
      <c r="D184" s="2"/>
      <c r="E184" s="2"/>
      <c r="F184" s="2"/>
      <c r="G184" s="2"/>
      <c r="H184" s="2"/>
      <c r="I184" s="2"/>
    </row>
    <row r="185">
      <c r="A185" s="5"/>
      <c r="B185" s="2"/>
      <c r="C185" s="2" t="s">
        <v>646</v>
      </c>
      <c r="D185" s="2"/>
      <c r="E185" s="2"/>
      <c r="F185" s="2"/>
      <c r="G185" s="2"/>
      <c r="H185" s="2"/>
      <c r="I185" s="2"/>
    </row>
    <row r="186">
      <c r="A186" s="5"/>
      <c r="B186" s="2"/>
      <c r="C186" s="2" t="s">
        <v>646</v>
      </c>
      <c r="D186" s="2"/>
      <c r="E186" s="2"/>
      <c r="F186" s="2"/>
      <c r="G186" s="2"/>
      <c r="H186" s="2"/>
      <c r="I186" s="2"/>
    </row>
    <row r="187">
      <c r="A187" s="5"/>
      <c r="B187" s="2"/>
      <c r="C187" s="2" t="s">
        <v>646</v>
      </c>
      <c r="D187" s="2"/>
      <c r="E187" s="2"/>
      <c r="F187" s="2"/>
      <c r="G187" s="2"/>
      <c r="H187" s="2"/>
      <c r="I187" s="2"/>
    </row>
    <row r="188">
      <c r="A188" s="5"/>
      <c r="B188" s="2"/>
      <c r="C188" s="2" t="s">
        <v>646</v>
      </c>
      <c r="D188" s="2"/>
      <c r="E188" s="2"/>
      <c r="F188" s="2"/>
      <c r="G188" s="2"/>
      <c r="H188" s="2"/>
      <c r="I188" s="2"/>
    </row>
    <row r="189">
      <c r="A189" s="5"/>
      <c r="B189" s="2"/>
      <c r="C189" s="2" t="s">
        <v>646</v>
      </c>
      <c r="D189" s="2"/>
      <c r="E189" s="2"/>
      <c r="F189" s="2"/>
      <c r="G189" s="2"/>
      <c r="H189" s="2"/>
      <c r="I189" s="2"/>
    </row>
    <row r="190">
      <c r="A190" s="5"/>
      <c r="B190" s="2"/>
      <c r="C190" s="2" t="s">
        <v>646</v>
      </c>
      <c r="D190" s="2"/>
      <c r="E190" s="2"/>
      <c r="F190" s="2"/>
      <c r="G190" s="2"/>
      <c r="H190" s="2"/>
      <c r="I190" s="2"/>
    </row>
    <row r="191">
      <c r="A191" s="5"/>
      <c r="B191" s="2"/>
      <c r="C191" s="2" t="s">
        <v>646</v>
      </c>
      <c r="D191" s="2"/>
      <c r="E191" s="2"/>
      <c r="F191" s="2"/>
      <c r="G191" s="2"/>
      <c r="H191" s="2"/>
      <c r="I191" s="2"/>
    </row>
    <row r="192">
      <c r="A192" s="5"/>
      <c r="B192" s="2"/>
      <c r="C192" s="2" t="s">
        <v>646</v>
      </c>
      <c r="D192" s="2"/>
      <c r="E192" s="2"/>
      <c r="F192" s="2"/>
      <c r="G192" s="2"/>
      <c r="H192" s="2"/>
      <c r="I192" s="2"/>
    </row>
    <row r="193">
      <c r="A193" s="5"/>
      <c r="B193" s="2"/>
      <c r="C193" s="2" t="s">
        <v>646</v>
      </c>
      <c r="D193" s="2"/>
      <c r="E193" s="2"/>
      <c r="F193" s="2"/>
      <c r="G193" s="2"/>
      <c r="H193" s="2"/>
      <c r="I193" s="2"/>
    </row>
    <row r="194">
      <c r="A194" s="5"/>
      <c r="B194" s="2"/>
      <c r="C194" s="2" t="s">
        <v>646</v>
      </c>
      <c r="D194" s="2"/>
      <c r="E194" s="2"/>
      <c r="F194" s="2"/>
      <c r="G194" s="2"/>
      <c r="H194" s="2"/>
      <c r="I194" s="2"/>
    </row>
    <row r="195">
      <c r="A195" s="5"/>
      <c r="B195" s="2"/>
      <c r="C195" s="2" t="s">
        <v>646</v>
      </c>
      <c r="D195" s="2"/>
      <c r="E195" s="2"/>
      <c r="F195" s="2"/>
      <c r="G195" s="2"/>
      <c r="H195" s="2"/>
      <c r="I195" s="2"/>
    </row>
    <row r="196">
      <c r="A196" s="5"/>
      <c r="B196" s="2"/>
      <c r="C196" s="2" t="s">
        <v>646</v>
      </c>
      <c r="D196" s="2"/>
      <c r="E196" s="2"/>
      <c r="F196" s="2"/>
      <c r="G196" s="2"/>
      <c r="H196" s="2"/>
      <c r="I196" s="2"/>
    </row>
    <row r="197">
      <c r="A197" s="5"/>
      <c r="B197" s="2"/>
      <c r="C197" s="2" t="s">
        <v>646</v>
      </c>
      <c r="D197" s="2"/>
      <c r="E197" s="2"/>
      <c r="F197" s="2"/>
      <c r="G197" s="2"/>
      <c r="H197" s="2"/>
      <c r="I197" s="2"/>
    </row>
    <row r="198">
      <c r="A198" s="5"/>
      <c r="B198" s="2"/>
      <c r="C198" s="2" t="s">
        <v>646</v>
      </c>
      <c r="D198" s="2"/>
      <c r="E198" s="2"/>
      <c r="F198" s="2"/>
      <c r="G198" s="2"/>
      <c r="H198" s="2"/>
      <c r="I198" s="2"/>
    </row>
    <row r="199">
      <c r="A199" s="5"/>
      <c r="B199" s="2"/>
      <c r="C199" s="2" t="s">
        <v>646</v>
      </c>
      <c r="D199" s="2"/>
      <c r="E199" s="2"/>
      <c r="F199" s="2"/>
      <c r="G199" s="2"/>
      <c r="H199" s="2"/>
      <c r="I199" s="2"/>
    </row>
    <row r="200">
      <c r="A200" s="5"/>
      <c r="B200" s="2"/>
      <c r="C200" s="2" t="s">
        <v>646</v>
      </c>
      <c r="D200" s="2"/>
      <c r="E200" s="2"/>
      <c r="F200" s="2"/>
      <c r="G200" s="2"/>
      <c r="H200" s="2"/>
      <c r="I200" s="2"/>
    </row>
    <row r="201">
      <c r="A201" s="5"/>
      <c r="B201" s="2"/>
      <c r="C201" s="2" t="s">
        <v>646</v>
      </c>
      <c r="D201" s="2"/>
      <c r="E201" s="2"/>
      <c r="F201" s="2"/>
      <c r="G201" s="2"/>
      <c r="H201" s="2"/>
      <c r="I201" s="2"/>
    </row>
    <row r="202">
      <c r="A202" s="5"/>
      <c r="B202" s="2"/>
      <c r="C202" s="2" t="s">
        <v>646</v>
      </c>
      <c r="D202" s="2"/>
      <c r="E202" s="2"/>
      <c r="F202" s="2"/>
      <c r="G202" s="2"/>
      <c r="H202" s="2"/>
      <c r="I202" s="2"/>
    </row>
    <row r="203">
      <c r="A203" s="5"/>
      <c r="B203" s="2"/>
      <c r="C203" s="2" t="s">
        <v>646</v>
      </c>
      <c r="D203" s="2"/>
      <c r="E203" s="2"/>
      <c r="F203" s="2"/>
      <c r="G203" s="2"/>
      <c r="H203" s="2"/>
      <c r="I203" s="2"/>
    </row>
    <row r="204">
      <c r="A204" s="5"/>
      <c r="B204" s="2"/>
      <c r="C204" s="2" t="s">
        <v>646</v>
      </c>
      <c r="D204" s="2"/>
      <c r="E204" s="2"/>
      <c r="F204" s="2"/>
      <c r="G204" s="2"/>
      <c r="H204" s="2"/>
      <c r="I204" s="2"/>
    </row>
    <row r="205">
      <c r="A205" s="5"/>
      <c r="B205" s="2"/>
      <c r="C205" s="2" t="s">
        <v>646</v>
      </c>
      <c r="D205" s="2"/>
      <c r="E205" s="2"/>
      <c r="F205" s="2"/>
      <c r="G205" s="2"/>
      <c r="H205" s="2"/>
      <c r="I205" s="2"/>
    </row>
    <row r="206">
      <c r="A206" s="5"/>
      <c r="B206" s="2"/>
      <c r="C206" s="2" t="s">
        <v>646</v>
      </c>
      <c r="D206" s="2"/>
      <c r="E206" s="2"/>
      <c r="F206" s="2"/>
      <c r="G206" s="2"/>
      <c r="H206" s="2"/>
      <c r="I206" s="2"/>
    </row>
    <row r="207">
      <c r="A207" s="5"/>
      <c r="B207" s="2"/>
      <c r="C207" s="2" t="s">
        <v>646</v>
      </c>
      <c r="D207" s="2"/>
      <c r="E207" s="2"/>
      <c r="F207" s="2"/>
      <c r="G207" s="2"/>
      <c r="H207" s="2"/>
      <c r="I207" s="2"/>
    </row>
    <row r="208">
      <c r="A208" s="5"/>
      <c r="B208" s="2"/>
      <c r="C208" s="2" t="s">
        <v>646</v>
      </c>
      <c r="D208" s="2"/>
      <c r="E208" s="2"/>
      <c r="F208" s="2"/>
      <c r="G208" s="2"/>
      <c r="H208" s="2"/>
      <c r="I208" s="2"/>
    </row>
    <row r="209">
      <c r="A209" s="5"/>
      <c r="B209" s="2"/>
      <c r="C209" s="2" t="s">
        <v>646</v>
      </c>
      <c r="D209" s="2"/>
      <c r="E209" s="2"/>
      <c r="F209" s="2"/>
      <c r="G209" s="2"/>
      <c r="H209" s="2"/>
      <c r="I209" s="2"/>
    </row>
    <row r="210">
      <c r="A210" s="5"/>
      <c r="B210" s="2"/>
      <c r="C210" s="2" t="s">
        <v>646</v>
      </c>
      <c r="D210" s="2"/>
      <c r="E210" s="2"/>
      <c r="F210" s="2"/>
      <c r="G210" s="2"/>
      <c r="H210" s="2"/>
      <c r="I210" s="2"/>
    </row>
    <row r="211">
      <c r="A211" s="5"/>
      <c r="B211" s="2"/>
      <c r="C211" s="2" t="s">
        <v>646</v>
      </c>
      <c r="D211" s="2"/>
      <c r="E211" s="2"/>
      <c r="F211" s="2"/>
      <c r="G211" s="2"/>
      <c r="H211" s="2"/>
      <c r="I211" s="2"/>
    </row>
    <row r="212">
      <c r="A212" s="5"/>
      <c r="B212" s="2"/>
      <c r="C212" s="2" t="s">
        <v>646</v>
      </c>
      <c r="D212" s="2"/>
      <c r="E212" s="2"/>
      <c r="F212" s="2"/>
      <c r="G212" s="2"/>
      <c r="H212" s="2"/>
      <c r="I212" s="2"/>
    </row>
    <row r="213">
      <c r="A213" s="5"/>
      <c r="B213" s="2"/>
      <c r="C213" s="2" t="s">
        <v>646</v>
      </c>
      <c r="D213" s="2"/>
      <c r="E213" s="2"/>
      <c r="F213" s="2"/>
      <c r="G213" s="2"/>
      <c r="H213" s="2"/>
      <c r="I213" s="2"/>
    </row>
    <row r="214">
      <c r="A214" s="5"/>
      <c r="B214" s="2"/>
      <c r="C214" s="2" t="s">
        <v>646</v>
      </c>
      <c r="D214" s="2"/>
      <c r="E214" s="2"/>
      <c r="F214" s="2"/>
      <c r="G214" s="2"/>
      <c r="H214" s="2"/>
      <c r="I214" s="2"/>
    </row>
    <row r="215">
      <c r="A215" s="5"/>
      <c r="B215" s="2"/>
      <c r="C215" s="2" t="s">
        <v>646</v>
      </c>
      <c r="D215" s="2"/>
      <c r="E215" s="2"/>
      <c r="F215" s="2"/>
      <c r="G215" s="2"/>
      <c r="H215" s="2"/>
      <c r="I215" s="2"/>
    </row>
    <row r="216">
      <c r="A216" s="5"/>
      <c r="B216" s="2"/>
      <c r="C216" s="2" t="s">
        <v>646</v>
      </c>
      <c r="D216" s="2"/>
      <c r="E216" s="2"/>
      <c r="F216" s="2"/>
      <c r="G216" s="2"/>
      <c r="H216" s="2"/>
      <c r="I216" s="2"/>
    </row>
    <row r="217">
      <c r="A217" s="5"/>
      <c r="B217" s="2"/>
      <c r="C217" s="2" t="s">
        <v>646</v>
      </c>
      <c r="D217" s="2"/>
      <c r="E217" s="2"/>
      <c r="F217" s="2"/>
      <c r="G217" s="2"/>
      <c r="H217" s="2"/>
      <c r="I217" s="2"/>
    </row>
    <row r="218">
      <c r="A218" s="5"/>
      <c r="B218" s="2"/>
      <c r="C218" s="2" t="s">
        <v>646</v>
      </c>
      <c r="D218" s="2"/>
      <c r="E218" s="2"/>
      <c r="F218" s="2"/>
      <c r="G218" s="2"/>
      <c r="H218" s="2"/>
      <c r="I218" s="2"/>
    </row>
    <row r="219">
      <c r="A219" s="5"/>
      <c r="B219" s="2"/>
      <c r="C219" s="2" t="s">
        <v>646</v>
      </c>
      <c r="D219" s="2"/>
      <c r="E219" s="2"/>
      <c r="F219" s="2"/>
      <c r="G219" s="2"/>
      <c r="H219" s="2"/>
      <c r="I219" s="2"/>
    </row>
    <row r="220">
      <c r="A220" s="5"/>
      <c r="B220" s="2"/>
      <c r="C220" s="2" t="s">
        <v>646</v>
      </c>
      <c r="D220" s="2"/>
      <c r="E220" s="2"/>
      <c r="F220" s="2"/>
      <c r="G220" s="2"/>
      <c r="H220" s="2"/>
      <c r="I220" s="2"/>
    </row>
    <row r="221">
      <c r="A221" s="5"/>
      <c r="B221" s="2"/>
      <c r="C221" s="2" t="s">
        <v>646</v>
      </c>
      <c r="D221" s="2"/>
      <c r="E221" s="2"/>
      <c r="F221" s="2"/>
      <c r="G221" s="2"/>
      <c r="H221" s="2"/>
      <c r="I221" s="2"/>
    </row>
    <row r="222">
      <c r="A222" s="5"/>
      <c r="B222" s="2"/>
      <c r="C222" s="2" t="s">
        <v>646</v>
      </c>
      <c r="D222" s="2"/>
      <c r="E222" s="2"/>
      <c r="F222" s="2"/>
      <c r="G222" s="2"/>
      <c r="H222" s="2"/>
      <c r="I222" s="2"/>
    </row>
    <row r="223">
      <c r="A223" s="5"/>
      <c r="B223" s="2"/>
      <c r="C223" s="2" t="s">
        <v>646</v>
      </c>
      <c r="D223" s="2"/>
      <c r="E223" s="2"/>
      <c r="F223" s="2"/>
      <c r="G223" s="2"/>
      <c r="H223" s="2"/>
      <c r="I223" s="2"/>
    </row>
    <row r="224">
      <c r="A224" s="5"/>
      <c r="B224" s="2"/>
      <c r="C224" s="2" t="s">
        <v>646</v>
      </c>
      <c r="D224" s="2"/>
      <c r="E224" s="2"/>
      <c r="F224" s="2"/>
      <c r="G224" s="2"/>
      <c r="H224" s="2"/>
      <c r="I224" s="2"/>
    </row>
    <row r="225">
      <c r="A225" s="5"/>
      <c r="B225" s="2"/>
      <c r="C225" s="2" t="s">
        <v>646</v>
      </c>
      <c r="D225" s="2"/>
      <c r="E225" s="2"/>
      <c r="F225" s="2"/>
      <c r="G225" s="2"/>
      <c r="H225" s="2"/>
      <c r="I225" s="2"/>
    </row>
    <row r="226">
      <c r="A226" s="5"/>
      <c r="B226" s="2"/>
      <c r="C226" s="2" t="s">
        <v>646</v>
      </c>
      <c r="D226" s="2"/>
      <c r="E226" s="2"/>
      <c r="F226" s="2"/>
      <c r="G226" s="2"/>
      <c r="H226" s="2"/>
      <c r="I226" s="2"/>
    </row>
    <row r="227">
      <c r="A227" s="5"/>
      <c r="B227" s="2"/>
      <c r="C227" s="2" t="s">
        <v>646</v>
      </c>
      <c r="D227" s="2"/>
      <c r="E227" s="2"/>
      <c r="F227" s="2"/>
      <c r="G227" s="2"/>
      <c r="H227" s="2"/>
      <c r="I227" s="2"/>
    </row>
    <row r="228">
      <c r="A228" s="5"/>
      <c r="B228" s="2"/>
      <c r="C228" s="2" t="s">
        <v>646</v>
      </c>
      <c r="D228" s="2"/>
      <c r="E228" s="2"/>
      <c r="F228" s="2"/>
      <c r="G228" s="2"/>
      <c r="H228" s="2"/>
      <c r="I228" s="2"/>
    </row>
    <row r="229">
      <c r="A229" s="5"/>
      <c r="B229" s="2"/>
      <c r="C229" s="2" t="s">
        <v>646</v>
      </c>
      <c r="D229" s="2"/>
      <c r="E229" s="2"/>
      <c r="F229" s="2"/>
      <c r="G229" s="2"/>
      <c r="H229" s="2"/>
      <c r="I229" s="2"/>
    </row>
    <row r="230">
      <c r="A230" s="5"/>
      <c r="B230" s="2"/>
      <c r="C230" s="2" t="s">
        <v>646</v>
      </c>
      <c r="D230" s="2"/>
      <c r="E230" s="2"/>
      <c r="F230" s="2"/>
      <c r="G230" s="2"/>
      <c r="H230" s="2"/>
      <c r="I230" s="2"/>
    </row>
    <row r="231">
      <c r="A231" s="5"/>
      <c r="B231" s="2"/>
      <c r="C231" s="2" t="s">
        <v>646</v>
      </c>
      <c r="D231" s="2"/>
      <c r="E231" s="2"/>
      <c r="F231" s="2"/>
      <c r="G231" s="2"/>
      <c r="H231" s="2"/>
      <c r="I231" s="2"/>
    </row>
    <row r="232">
      <c r="A232" s="5"/>
      <c r="B232" s="2"/>
      <c r="C232" s="2" t="s">
        <v>646</v>
      </c>
      <c r="D232" s="2"/>
      <c r="E232" s="2"/>
      <c r="F232" s="2"/>
      <c r="G232" s="2"/>
      <c r="H232" s="2"/>
      <c r="I232" s="2"/>
    </row>
    <row r="233">
      <c r="A233" s="5"/>
      <c r="B233" s="2"/>
      <c r="C233" s="2" t="s">
        <v>646</v>
      </c>
      <c r="D233" s="2"/>
      <c r="E233" s="2"/>
      <c r="F233" s="2"/>
      <c r="G233" s="2"/>
      <c r="H233" s="2"/>
      <c r="I233" s="2"/>
    </row>
    <row r="234">
      <c r="A234" s="5"/>
      <c r="B234" s="2"/>
      <c r="C234" s="2" t="s">
        <v>646</v>
      </c>
      <c r="D234" s="2"/>
      <c r="E234" s="2"/>
      <c r="F234" s="2"/>
      <c r="G234" s="2"/>
      <c r="H234" s="2"/>
      <c r="I234" s="2"/>
    </row>
    <row r="235">
      <c r="A235" s="5"/>
      <c r="B235" s="2"/>
      <c r="C235" s="2" t="s">
        <v>646</v>
      </c>
      <c r="D235" s="2"/>
      <c r="E235" s="2"/>
      <c r="F235" s="2"/>
      <c r="G235" s="2"/>
      <c r="H235" s="2"/>
      <c r="I235" s="2"/>
    </row>
    <row r="236">
      <c r="A236" s="5"/>
      <c r="B236" s="2"/>
      <c r="C236" s="2" t="s">
        <v>646</v>
      </c>
      <c r="D236" s="2"/>
      <c r="E236" s="2"/>
      <c r="F236" s="2"/>
      <c r="G236" s="2"/>
      <c r="H236" s="2"/>
      <c r="I236" s="2"/>
    </row>
    <row r="237">
      <c r="A237" s="5"/>
      <c r="B237" s="2"/>
      <c r="C237" s="2" t="s">
        <v>646</v>
      </c>
      <c r="D237" s="2"/>
      <c r="E237" s="2"/>
      <c r="F237" s="2"/>
      <c r="G237" s="2"/>
      <c r="H237" s="2"/>
      <c r="I237" s="2"/>
    </row>
    <row r="238">
      <c r="A238" s="5"/>
      <c r="B238" s="2"/>
      <c r="C238" s="2" t="s">
        <v>646</v>
      </c>
      <c r="D238" s="2"/>
      <c r="E238" s="2"/>
      <c r="F238" s="2"/>
      <c r="G238" s="2"/>
      <c r="H238" s="2"/>
      <c r="I238" s="2"/>
    </row>
    <row r="239">
      <c r="A239" s="5"/>
      <c r="B239" s="2"/>
      <c r="C239" s="2" t="s">
        <v>646</v>
      </c>
      <c r="D239" s="2"/>
      <c r="E239" s="2"/>
      <c r="F239" s="2"/>
      <c r="G239" s="2"/>
      <c r="H239" s="2"/>
      <c r="I239" s="2"/>
    </row>
    <row r="240">
      <c r="A240" s="5"/>
      <c r="B240" s="2"/>
      <c r="C240" s="2" t="s">
        <v>646</v>
      </c>
      <c r="D240" s="2"/>
      <c r="E240" s="2"/>
      <c r="F240" s="2"/>
      <c r="G240" s="2"/>
      <c r="H240" s="2"/>
      <c r="I240" s="2"/>
    </row>
    <row r="241">
      <c r="A241" s="5"/>
      <c r="B241" s="2"/>
      <c r="C241" s="2" t="s">
        <v>646</v>
      </c>
      <c r="D241" s="2"/>
      <c r="E241" s="2"/>
      <c r="F241" s="2"/>
      <c r="G241" s="2"/>
      <c r="H241" s="2"/>
      <c r="I241" s="2"/>
    </row>
    <row r="242">
      <c r="A242" s="5"/>
      <c r="B242" s="2"/>
      <c r="C242" s="2" t="s">
        <v>646</v>
      </c>
      <c r="D242" s="2"/>
      <c r="E242" s="2"/>
      <c r="F242" s="2"/>
      <c r="G242" s="2"/>
      <c r="H242" s="2"/>
      <c r="I242" s="2"/>
    </row>
    <row r="243">
      <c r="A243" s="5"/>
      <c r="B243" s="2"/>
      <c r="C243" s="2" t="s">
        <v>646</v>
      </c>
      <c r="D243" s="2"/>
      <c r="E243" s="2"/>
      <c r="F243" s="2"/>
      <c r="G243" s="2"/>
      <c r="H243" s="2"/>
      <c r="I243" s="2"/>
    </row>
    <row r="244">
      <c r="A244" s="5"/>
      <c r="B244" s="2"/>
      <c r="C244" s="2" t="s">
        <v>646</v>
      </c>
      <c r="D244" s="2"/>
      <c r="E244" s="2"/>
      <c r="F244" s="2"/>
      <c r="G244" s="2"/>
      <c r="H244" s="2"/>
      <c r="I244" s="2"/>
    </row>
    <row r="245">
      <c r="A245" s="5"/>
      <c r="B245" s="2"/>
      <c r="C245" s="2" t="s">
        <v>646</v>
      </c>
      <c r="D245" s="2"/>
      <c r="E245" s="2"/>
      <c r="F245" s="2"/>
      <c r="G245" s="2"/>
      <c r="H245" s="2"/>
      <c r="I245" s="2"/>
    </row>
    <row r="246">
      <c r="A246" s="5"/>
      <c r="B246" s="2"/>
      <c r="C246" s="2" t="s">
        <v>646</v>
      </c>
      <c r="D246" s="2"/>
      <c r="E246" s="2"/>
      <c r="F246" s="2"/>
      <c r="G246" s="2"/>
      <c r="H246" s="2"/>
      <c r="I246" s="2"/>
    </row>
    <row r="247">
      <c r="A247" s="5"/>
      <c r="B247" s="2"/>
      <c r="C247" s="2" t="s">
        <v>646</v>
      </c>
      <c r="D247" s="2"/>
      <c r="E247" s="2"/>
      <c r="F247" s="2"/>
      <c r="G247" s="2"/>
      <c r="H247" s="2"/>
      <c r="I247" s="2"/>
    </row>
    <row r="248">
      <c r="A248" s="5"/>
      <c r="B248" s="2"/>
      <c r="C248" s="2" t="s">
        <v>646</v>
      </c>
      <c r="D248" s="2"/>
      <c r="E248" s="2"/>
      <c r="F248" s="2"/>
      <c r="G248" s="2"/>
      <c r="H248" s="2"/>
      <c r="I248" s="2"/>
    </row>
    <row r="249">
      <c r="A249" s="5"/>
      <c r="B249" s="2"/>
      <c r="C249" s="2" t="s">
        <v>646</v>
      </c>
      <c r="D249" s="2"/>
      <c r="E249" s="2"/>
      <c r="F249" s="2"/>
      <c r="G249" s="2"/>
      <c r="H249" s="2"/>
      <c r="I249" s="2"/>
    </row>
    <row r="250">
      <c r="A250" s="5"/>
      <c r="B250" s="2"/>
      <c r="C250" s="2" t="s">
        <v>646</v>
      </c>
      <c r="D250" s="2"/>
      <c r="E250" s="2"/>
      <c r="F250" s="2"/>
      <c r="G250" s="2"/>
      <c r="H250" s="2"/>
      <c r="I250" s="2"/>
    </row>
    <row r="251">
      <c r="A251" s="5"/>
      <c r="B251" s="2"/>
      <c r="C251" s="2" t="s">
        <v>646</v>
      </c>
      <c r="D251" s="2"/>
      <c r="E251" s="2"/>
      <c r="F251" s="2"/>
      <c r="G251" s="2"/>
      <c r="H251" s="2"/>
      <c r="I251" s="2"/>
    </row>
    <row r="252">
      <c r="A252" s="5"/>
      <c r="B252" s="2"/>
      <c r="C252" s="2" t="s">
        <v>646</v>
      </c>
      <c r="D252" s="2"/>
      <c r="E252" s="2"/>
      <c r="F252" s="2"/>
      <c r="G252" s="2"/>
      <c r="H252" s="2"/>
      <c r="I252" s="2"/>
    </row>
    <row r="253">
      <c r="A253" s="5"/>
      <c r="B253" s="2"/>
      <c r="C253" s="2" t="s">
        <v>646</v>
      </c>
      <c r="D253" s="2"/>
      <c r="E253" s="2"/>
      <c r="F253" s="2"/>
      <c r="G253" s="2"/>
      <c r="H253" s="2"/>
      <c r="I253" s="2"/>
    </row>
    <row r="254">
      <c r="A254" s="5"/>
      <c r="B254" s="2"/>
      <c r="C254" s="2" t="s">
        <v>646</v>
      </c>
      <c r="D254" s="2"/>
      <c r="E254" s="2"/>
      <c r="F254" s="2"/>
      <c r="G254" s="2"/>
      <c r="H254" s="2"/>
      <c r="I254" s="2"/>
    </row>
    <row r="255">
      <c r="A255" s="5"/>
      <c r="B255" s="2"/>
      <c r="C255" s="2" t="s">
        <v>646</v>
      </c>
      <c r="D255" s="2"/>
      <c r="E255" s="2"/>
      <c r="F255" s="2"/>
      <c r="G255" s="2"/>
      <c r="H255" s="2"/>
      <c r="I255" s="2"/>
    </row>
    <row r="256">
      <c r="A256" s="5"/>
      <c r="B256" s="2"/>
      <c r="C256" s="2" t="s">
        <v>646</v>
      </c>
      <c r="D256" s="2"/>
      <c r="E256" s="2"/>
      <c r="F256" s="2"/>
      <c r="G256" s="2"/>
      <c r="H256" s="2"/>
      <c r="I256" s="2"/>
    </row>
    <row r="257">
      <c r="A257" s="5"/>
      <c r="B257" s="2"/>
      <c r="C257" s="2" t="s">
        <v>646</v>
      </c>
      <c r="D257" s="2"/>
      <c r="E257" s="2"/>
      <c r="F257" s="2"/>
      <c r="G257" s="2"/>
      <c r="H257" s="2"/>
      <c r="I257" s="2"/>
    </row>
    <row r="258">
      <c r="A258" s="5"/>
      <c r="B258" s="2"/>
      <c r="C258" s="2" t="s">
        <v>646</v>
      </c>
      <c r="D258" s="2"/>
      <c r="E258" s="2"/>
      <c r="F258" s="2"/>
      <c r="G258" s="2"/>
      <c r="H258" s="2"/>
      <c r="I258" s="2"/>
    </row>
    <row r="259">
      <c r="A259" s="5"/>
      <c r="B259" s="2"/>
      <c r="C259" s="2" t="s">
        <v>646</v>
      </c>
      <c r="D259" s="2"/>
      <c r="E259" s="2"/>
      <c r="F259" s="2"/>
      <c r="G259" s="2"/>
      <c r="H259" s="2"/>
      <c r="I259" s="2"/>
    </row>
    <row r="260">
      <c r="A260" s="5"/>
      <c r="B260" s="2"/>
      <c r="C260" s="2" t="s">
        <v>646</v>
      </c>
      <c r="D260" s="2"/>
      <c r="E260" s="2"/>
      <c r="F260" s="2"/>
      <c r="G260" s="2"/>
      <c r="H260" s="2"/>
      <c r="I260" s="2"/>
    </row>
    <row r="261">
      <c r="A261" s="5"/>
      <c r="B261" s="2"/>
      <c r="C261" s="2" t="s">
        <v>646</v>
      </c>
      <c r="D261" s="2"/>
      <c r="E261" s="2"/>
      <c r="F261" s="2"/>
      <c r="G261" s="2"/>
      <c r="H261" s="2"/>
      <c r="I261" s="2"/>
    </row>
    <row r="262">
      <c r="A262" s="5"/>
      <c r="B262" s="2"/>
      <c r="C262" s="2" t="s">
        <v>646</v>
      </c>
      <c r="D262" s="2"/>
      <c r="E262" s="2"/>
      <c r="F262" s="2"/>
      <c r="G262" s="2"/>
      <c r="H262" s="2"/>
      <c r="I262" s="2"/>
    </row>
    <row r="263">
      <c r="A263" s="5"/>
      <c r="B263" s="2"/>
      <c r="C263" s="2" t="s">
        <v>646</v>
      </c>
      <c r="D263" s="2"/>
      <c r="E263" s="2"/>
      <c r="F263" s="2"/>
      <c r="G263" s="2"/>
      <c r="H263" s="2"/>
      <c r="I263" s="2"/>
    </row>
    <row r="264">
      <c r="A264" s="5"/>
      <c r="B264" s="2"/>
      <c r="C264" s="2" t="s">
        <v>646</v>
      </c>
      <c r="D264" s="2"/>
      <c r="E264" s="2"/>
      <c r="F264" s="2"/>
      <c r="G264" s="2"/>
      <c r="H264" s="2"/>
      <c r="I264" s="2"/>
    </row>
    <row r="265">
      <c r="A265" s="5"/>
      <c r="B265" s="2"/>
      <c r="C265" s="2" t="s">
        <v>646</v>
      </c>
      <c r="D265" s="2"/>
      <c r="E265" s="2"/>
      <c r="F265" s="2"/>
      <c r="G265" s="2"/>
      <c r="H265" s="2"/>
      <c r="I265" s="2"/>
    </row>
    <row r="266">
      <c r="A266" s="5"/>
      <c r="B266" s="2"/>
      <c r="C266" s="2" t="s">
        <v>646</v>
      </c>
      <c r="D266" s="2"/>
      <c r="E266" s="2"/>
      <c r="F266" s="2"/>
      <c r="G266" s="2"/>
      <c r="H266" s="2"/>
      <c r="I266" s="2"/>
    </row>
    <row r="267">
      <c r="A267" s="5"/>
      <c r="B267" s="2"/>
      <c r="C267" s="2" t="s">
        <v>646</v>
      </c>
      <c r="D267" s="2"/>
      <c r="E267" s="2"/>
      <c r="F267" s="2"/>
      <c r="G267" s="2"/>
      <c r="H267" s="2"/>
      <c r="I267" s="2"/>
    </row>
    <row r="268">
      <c r="A268" s="5"/>
      <c r="B268" s="2"/>
      <c r="C268" s="2" t="s">
        <v>646</v>
      </c>
      <c r="D268" s="2"/>
      <c r="E268" s="2"/>
      <c r="F268" s="2"/>
      <c r="G268" s="2"/>
      <c r="H268" s="2"/>
      <c r="I268" s="2"/>
    </row>
    <row r="269">
      <c r="A269" s="5"/>
      <c r="B269" s="2"/>
      <c r="C269" s="2" t="s">
        <v>646</v>
      </c>
      <c r="D269" s="2"/>
      <c r="E269" s="2"/>
      <c r="F269" s="2"/>
      <c r="G269" s="2"/>
      <c r="H269" s="2"/>
      <c r="I269" s="2"/>
    </row>
    <row r="270">
      <c r="A270" s="5"/>
      <c r="B270" s="2"/>
      <c r="C270" s="2" t="s">
        <v>646</v>
      </c>
      <c r="D270" s="2"/>
      <c r="E270" s="2"/>
      <c r="F270" s="2"/>
      <c r="G270" s="2"/>
      <c r="H270" s="2"/>
      <c r="I270" s="2"/>
    </row>
    <row r="271">
      <c r="A271" s="5"/>
      <c r="B271" s="2"/>
      <c r="C271" s="2" t="s">
        <v>646</v>
      </c>
      <c r="D271" s="2"/>
      <c r="E271" s="2"/>
      <c r="F271" s="2"/>
      <c r="G271" s="2"/>
      <c r="H271" s="2"/>
      <c r="I271" s="2"/>
    </row>
    <row r="272">
      <c r="A272" s="5"/>
      <c r="B272" s="2"/>
      <c r="C272" s="2" t="s">
        <v>646</v>
      </c>
      <c r="D272" s="2"/>
      <c r="E272" s="2"/>
      <c r="F272" s="2"/>
      <c r="G272" s="2"/>
      <c r="H272" s="2"/>
      <c r="I272" s="2"/>
    </row>
    <row r="273">
      <c r="A273" s="5"/>
      <c r="B273" s="2"/>
      <c r="C273" s="2" t="s">
        <v>646</v>
      </c>
      <c r="D273" s="2"/>
      <c r="E273" s="2"/>
      <c r="F273" s="2"/>
      <c r="G273" s="2"/>
      <c r="H273" s="2"/>
      <c r="I273" s="2"/>
    </row>
    <row r="274">
      <c r="A274" s="5"/>
      <c r="B274" s="2"/>
      <c r="C274" s="2" t="s">
        <v>646</v>
      </c>
      <c r="D274" s="2"/>
      <c r="E274" s="2"/>
      <c r="F274" s="2"/>
      <c r="G274" s="2"/>
      <c r="H274" s="2"/>
      <c r="I274" s="2"/>
    </row>
    <row r="275">
      <c r="A275" s="5"/>
      <c r="B275" s="2"/>
      <c r="C275" s="2" t="s">
        <v>646</v>
      </c>
      <c r="D275" s="2"/>
      <c r="E275" s="2"/>
      <c r="F275" s="2"/>
      <c r="G275" s="2"/>
      <c r="H275" s="2"/>
      <c r="I275" s="2"/>
    </row>
    <row r="276">
      <c r="A276" s="5"/>
      <c r="B276" s="2"/>
      <c r="C276" s="2" t="s">
        <v>646</v>
      </c>
      <c r="D276" s="2"/>
      <c r="E276" s="2"/>
      <c r="F276" s="2"/>
      <c r="G276" s="2"/>
      <c r="H276" s="2"/>
      <c r="I276" s="2"/>
    </row>
    <row r="277">
      <c r="A277" s="5"/>
      <c r="B277" s="2"/>
      <c r="C277" s="2" t="s">
        <v>646</v>
      </c>
      <c r="D277" s="2"/>
      <c r="E277" s="2"/>
      <c r="F277" s="2"/>
      <c r="G277" s="2"/>
      <c r="H277" s="2"/>
      <c r="I277" s="2"/>
    </row>
    <row r="278">
      <c r="A278" s="5"/>
      <c r="B278" s="2"/>
      <c r="C278" s="2" t="s">
        <v>646</v>
      </c>
      <c r="D278" s="2"/>
      <c r="E278" s="2"/>
      <c r="F278" s="2"/>
      <c r="G278" s="2"/>
      <c r="H278" s="2"/>
      <c r="I278" s="2"/>
    </row>
    <row r="279">
      <c r="A279" s="5"/>
      <c r="B279" s="2"/>
      <c r="C279" s="2" t="s">
        <v>646</v>
      </c>
      <c r="D279" s="2"/>
      <c r="E279" s="2"/>
      <c r="F279" s="2"/>
      <c r="G279" s="2"/>
      <c r="H279" s="2"/>
      <c r="I279" s="2"/>
    </row>
    <row r="280">
      <c r="A280" s="5"/>
      <c r="B280" s="2"/>
      <c r="C280" s="2" t="s">
        <v>646</v>
      </c>
      <c r="D280" s="2"/>
      <c r="E280" s="2"/>
      <c r="F280" s="2"/>
      <c r="G280" s="2"/>
      <c r="H280" s="2"/>
      <c r="I280" s="2"/>
    </row>
    <row r="281">
      <c r="A281" s="5"/>
      <c r="B281" s="2"/>
      <c r="C281" s="2" t="s">
        <v>646</v>
      </c>
      <c r="D281" s="2"/>
      <c r="E281" s="2"/>
      <c r="F281" s="2"/>
      <c r="G281" s="2"/>
      <c r="H281" s="2"/>
      <c r="I281" s="2"/>
    </row>
    <row r="282">
      <c r="A282" s="5"/>
      <c r="B282" s="2"/>
      <c r="C282" s="2" t="s">
        <v>646</v>
      </c>
      <c r="D282" s="2"/>
      <c r="E282" s="2"/>
      <c r="F282" s="2"/>
      <c r="G282" s="2"/>
      <c r="H282" s="2"/>
      <c r="I282" s="2"/>
    </row>
    <row r="283">
      <c r="A283" s="5"/>
      <c r="B283" s="2"/>
      <c r="C283" s="2" t="s">
        <v>646</v>
      </c>
      <c r="D283" s="2"/>
      <c r="E283" s="2"/>
      <c r="F283" s="2"/>
      <c r="G283" s="2"/>
      <c r="H283" s="2"/>
      <c r="I283" s="2"/>
    </row>
    <row r="284">
      <c r="A284" s="5"/>
      <c r="B284" s="2"/>
      <c r="C284" s="2" t="s">
        <v>646</v>
      </c>
      <c r="D284" s="2"/>
      <c r="E284" s="2"/>
      <c r="F284" s="2"/>
      <c r="G284" s="2"/>
      <c r="H284" s="2"/>
      <c r="I284" s="2"/>
    </row>
    <row r="285">
      <c r="A285" s="5"/>
      <c r="B285" s="2"/>
      <c r="C285" s="2" t="s">
        <v>646</v>
      </c>
      <c r="D285" s="2"/>
      <c r="E285" s="2"/>
      <c r="F285" s="2"/>
      <c r="G285" s="2"/>
      <c r="H285" s="2"/>
      <c r="I285" s="2"/>
    </row>
    <row r="286">
      <c r="A286" s="5"/>
      <c r="B286" s="2"/>
      <c r="C286" s="2" t="s">
        <v>646</v>
      </c>
      <c r="D286" s="2"/>
      <c r="E286" s="2"/>
      <c r="F286" s="2"/>
      <c r="G286" s="2"/>
      <c r="H286" s="2"/>
      <c r="I286" s="2"/>
    </row>
    <row r="287">
      <c r="A287" s="5"/>
      <c r="B287" s="2"/>
      <c r="C287" s="2" t="s">
        <v>646</v>
      </c>
      <c r="D287" s="2"/>
      <c r="E287" s="2"/>
      <c r="F287" s="2"/>
      <c r="G287" s="2"/>
      <c r="H287" s="2"/>
      <c r="I287" s="2"/>
    </row>
    <row r="288">
      <c r="A288" s="5"/>
      <c r="B288" s="2"/>
      <c r="C288" s="2" t="s">
        <v>646</v>
      </c>
      <c r="D288" s="2"/>
      <c r="E288" s="2"/>
      <c r="F288" s="2"/>
      <c r="G288" s="2"/>
      <c r="H288" s="2"/>
      <c r="I288" s="2"/>
    </row>
    <row r="289">
      <c r="A289" s="5"/>
      <c r="B289" s="2"/>
      <c r="C289" s="2" t="s">
        <v>646</v>
      </c>
      <c r="D289" s="2"/>
      <c r="E289" s="2"/>
      <c r="F289" s="2"/>
      <c r="G289" s="2"/>
      <c r="H289" s="2"/>
      <c r="I289" s="2"/>
    </row>
    <row r="290">
      <c r="A290" s="5"/>
      <c r="B290" s="2"/>
      <c r="C290" s="2" t="s">
        <v>646</v>
      </c>
      <c r="D290" s="2"/>
      <c r="E290" s="2"/>
      <c r="F290" s="2"/>
      <c r="G290" s="2"/>
      <c r="H290" s="2"/>
      <c r="I290" s="2"/>
    </row>
    <row r="291">
      <c r="A291" s="5"/>
      <c r="B291" s="2"/>
      <c r="C291" s="2" t="s">
        <v>646</v>
      </c>
      <c r="D291" s="2"/>
      <c r="E291" s="2"/>
      <c r="F291" s="2"/>
      <c r="G291" s="2"/>
      <c r="H291" s="2"/>
      <c r="I291" s="2"/>
    </row>
    <row r="292">
      <c r="A292" s="5"/>
      <c r="B292" s="2"/>
      <c r="C292" s="2" t="s">
        <v>646</v>
      </c>
      <c r="D292" s="2"/>
      <c r="E292" s="2"/>
      <c r="F292" s="2"/>
      <c r="G292" s="2"/>
      <c r="H292" s="2"/>
      <c r="I292" s="2"/>
    </row>
    <row r="293">
      <c r="A293" s="5"/>
      <c r="B293" s="2"/>
      <c r="C293" s="2" t="s">
        <v>646</v>
      </c>
      <c r="D293" s="2"/>
      <c r="E293" s="2"/>
      <c r="F293" s="2"/>
      <c r="G293" s="2"/>
      <c r="H293" s="2"/>
      <c r="I293" s="2"/>
    </row>
    <row r="294">
      <c r="A294" s="5"/>
      <c r="B294" s="2"/>
      <c r="C294" s="2" t="s">
        <v>646</v>
      </c>
      <c r="D294" s="2"/>
      <c r="E294" s="2"/>
      <c r="F294" s="2"/>
      <c r="G294" s="2"/>
      <c r="H294" s="2"/>
      <c r="I294" s="2"/>
    </row>
    <row r="295">
      <c r="A295" s="5"/>
      <c r="B295" s="2"/>
      <c r="C295" s="2" t="s">
        <v>646</v>
      </c>
      <c r="D295" s="2"/>
      <c r="E295" s="2"/>
      <c r="F295" s="2"/>
      <c r="G295" s="2"/>
      <c r="H295" s="2"/>
      <c r="I295" s="2"/>
    </row>
    <row r="296">
      <c r="A296" s="5"/>
      <c r="B296" s="2"/>
      <c r="C296" s="2" t="s">
        <v>646</v>
      </c>
      <c r="D296" s="2"/>
      <c r="E296" s="2"/>
      <c r="F296" s="2"/>
      <c r="G296" s="2"/>
      <c r="H296" s="2"/>
      <c r="I296" s="2"/>
    </row>
    <row r="297">
      <c r="A297" s="5"/>
      <c r="B297" s="2"/>
      <c r="C297" s="2" t="s">
        <v>646</v>
      </c>
      <c r="D297" s="2"/>
      <c r="E297" s="2"/>
      <c r="F297" s="2"/>
      <c r="G297" s="2"/>
      <c r="H297" s="2"/>
      <c r="I297" s="2"/>
    </row>
    <row r="298">
      <c r="A298" s="5"/>
      <c r="B298" s="2"/>
      <c r="C298" s="2" t="s">
        <v>646</v>
      </c>
      <c r="D298" s="2"/>
      <c r="E298" s="2"/>
      <c r="F298" s="2"/>
      <c r="G298" s="2"/>
      <c r="H298" s="2"/>
      <c r="I298" s="2"/>
    </row>
    <row r="299">
      <c r="A299" s="5"/>
      <c r="B299" s="2"/>
      <c r="C299" s="2" t="s">
        <v>646</v>
      </c>
      <c r="D299" s="2"/>
      <c r="E299" s="2"/>
      <c r="F299" s="2"/>
      <c r="G299" s="2"/>
      <c r="H299" s="2"/>
      <c r="I299" s="2"/>
    </row>
    <row r="300">
      <c r="A300" s="5"/>
      <c r="B300" s="2"/>
      <c r="C300" s="2" t="s">
        <v>646</v>
      </c>
      <c r="D300" s="2"/>
      <c r="E300" s="2"/>
      <c r="F300" s="2"/>
      <c r="G300" s="2"/>
      <c r="H300" s="2"/>
      <c r="I300" s="2"/>
    </row>
    <row r="301">
      <c r="A301" s="5"/>
      <c r="B301" s="2"/>
      <c r="C301" s="2" t="s">
        <v>646</v>
      </c>
      <c r="D301" s="2"/>
      <c r="E301" s="2"/>
      <c r="F301" s="2"/>
      <c r="G301" s="2"/>
      <c r="H301" s="2"/>
      <c r="I301" s="2"/>
    </row>
    <row r="302">
      <c r="A302" s="5"/>
      <c r="B302" s="2"/>
      <c r="C302" s="2" t="s">
        <v>646</v>
      </c>
      <c r="D302" s="2"/>
      <c r="E302" s="2"/>
      <c r="F302" s="2"/>
      <c r="G302" s="2"/>
      <c r="H302" s="2"/>
      <c r="I302" s="2"/>
    </row>
    <row r="303">
      <c r="A303" s="5"/>
      <c r="B303" s="2"/>
      <c r="C303" s="2" t="s">
        <v>646</v>
      </c>
      <c r="D303" s="2"/>
      <c r="E303" s="2"/>
      <c r="F303" s="2"/>
      <c r="G303" s="2"/>
      <c r="H303" s="2"/>
      <c r="I303" s="2"/>
    </row>
    <row r="304">
      <c r="A304" s="5"/>
      <c r="B304" s="2"/>
      <c r="C304" s="2" t="s">
        <v>646</v>
      </c>
      <c r="D304" s="2"/>
      <c r="E304" s="2"/>
      <c r="F304" s="2"/>
      <c r="G304" s="2"/>
      <c r="H304" s="2"/>
      <c r="I304" s="2"/>
    </row>
    <row r="305">
      <c r="A305" s="5"/>
      <c r="B305" s="2"/>
      <c r="C305" s="2" t="s">
        <v>646</v>
      </c>
      <c r="D305" s="2"/>
      <c r="E305" s="2"/>
      <c r="F305" s="2"/>
      <c r="G305" s="2"/>
      <c r="H305" s="2"/>
      <c r="I305" s="2"/>
    </row>
    <row r="306">
      <c r="A306" s="5"/>
      <c r="B306" s="2"/>
      <c r="C306" s="2" t="s">
        <v>646</v>
      </c>
      <c r="D306" s="2"/>
      <c r="E306" s="2"/>
      <c r="F306" s="2"/>
      <c r="G306" s="2"/>
      <c r="H306" s="2"/>
      <c r="I306" s="2"/>
    </row>
    <row r="307">
      <c r="A307" s="5"/>
      <c r="B307" s="2"/>
      <c r="C307" s="2" t="s">
        <v>646</v>
      </c>
      <c r="D307" s="2"/>
      <c r="E307" s="2"/>
      <c r="F307" s="2"/>
      <c r="G307" s="2"/>
      <c r="H307" s="2"/>
      <c r="I307" s="2"/>
    </row>
    <row r="308">
      <c r="A308" s="5"/>
      <c r="B308" s="2"/>
      <c r="C308" s="2" t="s">
        <v>646</v>
      </c>
      <c r="D308" s="2"/>
      <c r="E308" s="2"/>
      <c r="F308" s="2"/>
      <c r="G308" s="2"/>
      <c r="H308" s="2"/>
      <c r="I308" s="2"/>
    </row>
    <row r="309">
      <c r="A309" s="5"/>
      <c r="B309" s="2"/>
      <c r="C309" s="2" t="s">
        <v>646</v>
      </c>
      <c r="D309" s="2"/>
      <c r="E309" s="2"/>
      <c r="F309" s="2"/>
      <c r="G309" s="2"/>
      <c r="H309" s="2"/>
      <c r="I309" s="2"/>
    </row>
    <row r="310">
      <c r="A310" s="5"/>
      <c r="B310" s="2"/>
      <c r="C310" s="2" t="s">
        <v>646</v>
      </c>
      <c r="D310" s="2"/>
      <c r="E310" s="2"/>
      <c r="F310" s="2"/>
      <c r="G310" s="2"/>
      <c r="H310" s="2"/>
      <c r="I310" s="2"/>
    </row>
    <row r="311">
      <c r="A311" s="5"/>
      <c r="B311" s="2"/>
      <c r="C311" s="2" t="s">
        <v>646</v>
      </c>
      <c r="D311" s="2"/>
      <c r="E311" s="2"/>
      <c r="F311" s="2"/>
      <c r="G311" s="2"/>
      <c r="H311" s="2"/>
      <c r="I311" s="2"/>
    </row>
    <row r="312">
      <c r="A312" s="5"/>
      <c r="B312" s="2"/>
      <c r="C312" s="2" t="s">
        <v>646</v>
      </c>
      <c r="D312" s="2"/>
      <c r="E312" s="2"/>
      <c r="F312" s="2"/>
      <c r="G312" s="2"/>
      <c r="H312" s="2"/>
      <c r="I312" s="2"/>
    </row>
    <row r="313">
      <c r="A313" s="5"/>
      <c r="B313" s="2"/>
      <c r="C313" s="2" t="s">
        <v>646</v>
      </c>
      <c r="D313" s="2"/>
      <c r="E313" s="2"/>
      <c r="F313" s="2"/>
      <c r="G313" s="2"/>
      <c r="H313" s="2"/>
      <c r="I313" s="2"/>
    </row>
    <row r="314">
      <c r="A314" s="5"/>
      <c r="B314" s="2"/>
      <c r="C314" s="2" t="s">
        <v>646</v>
      </c>
      <c r="D314" s="2"/>
      <c r="E314" s="2"/>
      <c r="F314" s="2"/>
      <c r="G314" s="2"/>
      <c r="H314" s="2"/>
      <c r="I314" s="2"/>
    </row>
    <row r="315">
      <c r="A315" s="5"/>
      <c r="B315" s="2"/>
      <c r="C315" s="2" t="s">
        <v>646</v>
      </c>
      <c r="D315" s="2"/>
      <c r="E315" s="2"/>
      <c r="F315" s="2"/>
      <c r="G315" s="2"/>
      <c r="H315" s="2"/>
      <c r="I315" s="2"/>
    </row>
    <row r="316">
      <c r="A316" s="5"/>
      <c r="B316" s="2"/>
      <c r="C316" s="2" t="s">
        <v>646</v>
      </c>
      <c r="D316" s="2"/>
      <c r="E316" s="2"/>
      <c r="F316" s="2"/>
      <c r="G316" s="2"/>
      <c r="H316" s="2"/>
      <c r="I316" s="2"/>
    </row>
    <row r="317">
      <c r="A317" s="5"/>
      <c r="B317" s="2"/>
      <c r="C317" s="2" t="s">
        <v>646</v>
      </c>
      <c r="D317" s="2"/>
      <c r="E317" s="2"/>
      <c r="F317" s="2"/>
      <c r="G317" s="2"/>
      <c r="H317" s="2"/>
      <c r="I317" s="2"/>
    </row>
    <row r="318">
      <c r="A318" s="5"/>
      <c r="B318" s="2"/>
      <c r="C318" s="2" t="s">
        <v>646</v>
      </c>
      <c r="D318" s="2"/>
      <c r="E318" s="2"/>
      <c r="F318" s="2"/>
      <c r="G318" s="2"/>
      <c r="H318" s="2"/>
      <c r="I318" s="2"/>
    </row>
    <row r="319">
      <c r="A319" s="5"/>
      <c r="B319" s="2"/>
      <c r="C319" s="2" t="s">
        <v>646</v>
      </c>
      <c r="D319" s="2"/>
      <c r="E319" s="2"/>
      <c r="F319" s="2"/>
      <c r="G319" s="2"/>
      <c r="H319" s="2"/>
      <c r="I319" s="2"/>
    </row>
    <row r="320">
      <c r="A320" s="5"/>
      <c r="B320" s="2"/>
      <c r="C320" s="2" t="s">
        <v>646</v>
      </c>
      <c r="D320" s="2"/>
      <c r="E320" s="2"/>
      <c r="F320" s="2"/>
      <c r="G320" s="2"/>
      <c r="H320" s="2"/>
      <c r="I320" s="2"/>
    </row>
    <row r="321">
      <c r="A321" s="5"/>
      <c r="B321" s="2"/>
      <c r="C321" s="2" t="s">
        <v>646</v>
      </c>
      <c r="D321" s="2"/>
      <c r="E321" s="2"/>
      <c r="F321" s="2"/>
      <c r="G321" s="2"/>
      <c r="H321" s="2"/>
      <c r="I321" s="2"/>
    </row>
    <row r="322">
      <c r="A322" s="5"/>
      <c r="B322" s="2"/>
      <c r="C322" s="2" t="s">
        <v>646</v>
      </c>
      <c r="D322" s="2"/>
      <c r="E322" s="2"/>
      <c r="F322" s="2"/>
      <c r="G322" s="2"/>
      <c r="H322" s="2"/>
      <c r="I322" s="2"/>
    </row>
    <row r="323">
      <c r="A323" s="5"/>
      <c r="B323" s="2"/>
      <c r="C323" s="2" t="s">
        <v>646</v>
      </c>
      <c r="D323" s="2"/>
      <c r="E323" s="2"/>
      <c r="F323" s="2"/>
      <c r="G323" s="2"/>
      <c r="H323" s="2"/>
      <c r="I323" s="2"/>
    </row>
    <row r="324">
      <c r="A324" s="5"/>
      <c r="B324" s="2"/>
      <c r="C324" s="2" t="s">
        <v>646</v>
      </c>
      <c r="D324" s="2"/>
      <c r="E324" s="2"/>
      <c r="F324" s="2"/>
      <c r="G324" s="2"/>
      <c r="H324" s="2"/>
      <c r="I324" s="2"/>
    </row>
    <row r="325">
      <c r="A325" s="5"/>
      <c r="B325" s="2"/>
      <c r="C325" s="2" t="s">
        <v>646</v>
      </c>
      <c r="D325" s="2"/>
      <c r="E325" s="2"/>
      <c r="F325" s="2"/>
      <c r="G325" s="2"/>
      <c r="H325" s="2"/>
      <c r="I325" s="2"/>
    </row>
    <row r="326">
      <c r="A326" s="5"/>
      <c r="B326" s="2"/>
      <c r="C326" s="2" t="s">
        <v>646</v>
      </c>
      <c r="D326" s="2"/>
      <c r="E326" s="2"/>
      <c r="F326" s="2"/>
      <c r="G326" s="2"/>
      <c r="H326" s="2"/>
      <c r="I326" s="2"/>
    </row>
    <row r="327">
      <c r="A327" s="5"/>
      <c r="B327" s="2"/>
      <c r="C327" s="2" t="s">
        <v>646</v>
      </c>
      <c r="D327" s="2"/>
      <c r="E327" s="2"/>
      <c r="F327" s="2"/>
      <c r="G327" s="2"/>
      <c r="H327" s="2"/>
      <c r="I327" s="2"/>
    </row>
    <row r="328">
      <c r="A328" s="5"/>
      <c r="B328" s="2"/>
      <c r="C328" s="2" t="s">
        <v>646</v>
      </c>
      <c r="D328" s="2"/>
      <c r="E328" s="2"/>
      <c r="F328" s="2"/>
      <c r="G328" s="2"/>
      <c r="H328" s="2"/>
      <c r="I328" s="2"/>
    </row>
    <row r="329">
      <c r="A329" s="5"/>
      <c r="B329" s="2"/>
      <c r="C329" s="2" t="s">
        <v>646</v>
      </c>
      <c r="D329" s="2"/>
      <c r="E329" s="2"/>
      <c r="F329" s="2"/>
      <c r="G329" s="2"/>
      <c r="H329" s="2"/>
      <c r="I329" s="2"/>
    </row>
    <row r="330">
      <c r="A330" s="5"/>
      <c r="B330" s="2"/>
      <c r="C330" s="2" t="s">
        <v>646</v>
      </c>
      <c r="D330" s="2"/>
      <c r="E330" s="2"/>
      <c r="F330" s="2"/>
      <c r="G330" s="2"/>
      <c r="H330" s="2"/>
      <c r="I330" s="2"/>
    </row>
    <row r="331">
      <c r="A331" s="5"/>
      <c r="B331" s="2"/>
      <c r="C331" s="2" t="s">
        <v>646</v>
      </c>
      <c r="D331" s="2"/>
      <c r="E331" s="2"/>
      <c r="F331" s="2"/>
      <c r="G331" s="2"/>
      <c r="H331" s="2"/>
      <c r="I331" s="2"/>
    </row>
    <row r="332">
      <c r="A332" s="5"/>
      <c r="B332" s="2"/>
      <c r="C332" s="2" t="s">
        <v>646</v>
      </c>
      <c r="D332" s="2"/>
      <c r="E332" s="2"/>
      <c r="F332" s="2"/>
      <c r="G332" s="2"/>
      <c r="H332" s="2"/>
      <c r="I332" s="2"/>
    </row>
    <row r="333">
      <c r="A333" s="5"/>
      <c r="B333" s="2"/>
      <c r="C333" s="2" t="s">
        <v>646</v>
      </c>
      <c r="D333" s="2"/>
      <c r="E333" s="2"/>
      <c r="F333" s="2"/>
      <c r="G333" s="2"/>
      <c r="H333" s="2"/>
      <c r="I333" s="2"/>
    </row>
    <row r="334">
      <c r="A334" s="5"/>
      <c r="B334" s="2"/>
      <c r="C334" s="2" t="s">
        <v>646</v>
      </c>
      <c r="D334" s="2"/>
      <c r="E334" s="2"/>
      <c r="F334" s="2"/>
      <c r="G334" s="2"/>
      <c r="H334" s="2"/>
      <c r="I334" s="2"/>
    </row>
    <row r="335">
      <c r="A335" s="5"/>
      <c r="B335" s="2"/>
      <c r="C335" s="2" t="s">
        <v>646</v>
      </c>
      <c r="D335" s="2"/>
      <c r="E335" s="2"/>
      <c r="F335" s="2"/>
      <c r="G335" s="2"/>
      <c r="H335" s="2"/>
      <c r="I335" s="2"/>
    </row>
    <row r="336">
      <c r="A336" s="5"/>
      <c r="B336" s="2"/>
      <c r="C336" s="2" t="s">
        <v>646</v>
      </c>
      <c r="D336" s="2"/>
      <c r="E336" s="2"/>
      <c r="F336" s="2"/>
      <c r="G336" s="2"/>
      <c r="H336" s="2"/>
      <c r="I336" s="2"/>
    </row>
    <row r="337">
      <c r="A337" s="5"/>
      <c r="B337" s="2"/>
      <c r="C337" s="2" t="s">
        <v>646</v>
      </c>
      <c r="D337" s="2"/>
      <c r="E337" s="2"/>
      <c r="F337" s="2"/>
      <c r="G337" s="2"/>
      <c r="H337" s="2"/>
      <c r="I337" s="2"/>
    </row>
    <row r="338">
      <c r="A338" s="5"/>
      <c r="B338" s="2"/>
      <c r="C338" s="2" t="s">
        <v>646</v>
      </c>
      <c r="D338" s="2"/>
      <c r="E338" s="2"/>
      <c r="F338" s="2"/>
      <c r="G338" s="2"/>
      <c r="H338" s="2"/>
      <c r="I338" s="2"/>
    </row>
    <row r="339">
      <c r="A339" s="5"/>
      <c r="B339" s="2"/>
      <c r="C339" s="2" t="s">
        <v>646</v>
      </c>
      <c r="D339" s="2"/>
      <c r="E339" s="2"/>
      <c r="F339" s="2"/>
      <c r="G339" s="2"/>
      <c r="H339" s="2"/>
      <c r="I339" s="2"/>
    </row>
    <row r="340">
      <c r="A340" s="5"/>
      <c r="B340" s="2"/>
      <c r="C340" s="2" t="s">
        <v>646</v>
      </c>
      <c r="D340" s="2"/>
      <c r="E340" s="2"/>
      <c r="F340" s="2"/>
      <c r="G340" s="2"/>
      <c r="H340" s="2"/>
      <c r="I340" s="2"/>
    </row>
    <row r="341">
      <c r="A341" s="5"/>
      <c r="B341" s="2"/>
      <c r="C341" s="2" t="s">
        <v>646</v>
      </c>
      <c r="D341" s="2"/>
      <c r="E341" s="2"/>
      <c r="F341" s="2"/>
      <c r="G341" s="2"/>
      <c r="H341" s="2"/>
      <c r="I341" s="2"/>
    </row>
    <row r="342">
      <c r="A342" s="5"/>
      <c r="B342" s="2"/>
      <c r="C342" s="2" t="s">
        <v>646</v>
      </c>
      <c r="D342" s="2"/>
      <c r="E342" s="2"/>
      <c r="F342" s="2"/>
      <c r="G342" s="2"/>
      <c r="H342" s="2"/>
      <c r="I342" s="2"/>
    </row>
    <row r="343">
      <c r="A343" s="5"/>
      <c r="B343" s="2"/>
      <c r="C343" s="2" t="s">
        <v>646</v>
      </c>
      <c r="D343" s="2"/>
      <c r="E343" s="2"/>
      <c r="F343" s="2"/>
      <c r="G343" s="2"/>
      <c r="H343" s="2"/>
      <c r="I343" s="2"/>
    </row>
    <row r="344">
      <c r="A344" s="5"/>
      <c r="B344" s="2"/>
      <c r="C344" s="2" t="s">
        <v>646</v>
      </c>
      <c r="D344" s="2"/>
      <c r="E344" s="2"/>
      <c r="F344" s="2"/>
      <c r="G344" s="2"/>
      <c r="H344" s="2"/>
      <c r="I344" s="2"/>
    </row>
    <row r="345">
      <c r="A345" s="5"/>
      <c r="B345" s="2"/>
      <c r="C345" s="2" t="s">
        <v>646</v>
      </c>
      <c r="D345" s="2"/>
      <c r="E345" s="2"/>
      <c r="F345" s="2"/>
      <c r="G345" s="2"/>
      <c r="H345" s="2"/>
      <c r="I345" s="2"/>
    </row>
    <row r="346">
      <c r="A346" s="5"/>
      <c r="B346" s="2"/>
      <c r="C346" s="2" t="s">
        <v>646</v>
      </c>
      <c r="D346" s="2"/>
      <c r="E346" s="2"/>
      <c r="F346" s="2"/>
      <c r="G346" s="2"/>
      <c r="H346" s="2"/>
      <c r="I346" s="2"/>
    </row>
    <row r="347">
      <c r="A347" s="5"/>
      <c r="B347" s="2"/>
      <c r="C347" s="2" t="s">
        <v>646</v>
      </c>
      <c r="D347" s="2"/>
      <c r="E347" s="2"/>
      <c r="F347" s="2"/>
      <c r="G347" s="2"/>
      <c r="H347" s="2"/>
      <c r="I347" s="2"/>
    </row>
    <row r="348">
      <c r="A348" s="5"/>
      <c r="B348" s="2"/>
      <c r="C348" s="2" t="s">
        <v>646</v>
      </c>
      <c r="D348" s="2"/>
      <c r="E348" s="2"/>
      <c r="F348" s="2"/>
      <c r="G348" s="2"/>
      <c r="H348" s="2"/>
      <c r="I348" s="2"/>
    </row>
    <row r="349">
      <c r="A349" s="5"/>
      <c r="B349" s="2"/>
      <c r="C349" s="2" t="s">
        <v>646</v>
      </c>
      <c r="D349" s="2"/>
      <c r="E349" s="2"/>
      <c r="F349" s="2"/>
      <c r="G349" s="2"/>
      <c r="H349" s="2"/>
      <c r="I349" s="2"/>
    </row>
    <row r="350">
      <c r="A350" s="5"/>
      <c r="B350" s="2"/>
      <c r="C350" s="2" t="s">
        <v>646</v>
      </c>
      <c r="D350" s="2"/>
      <c r="E350" s="2"/>
      <c r="F350" s="2"/>
      <c r="G350" s="2"/>
      <c r="H350" s="2"/>
      <c r="I350" s="2"/>
    </row>
    <row r="351">
      <c r="A351" s="5"/>
      <c r="B351" s="2"/>
      <c r="C351" s="2" t="s">
        <v>646</v>
      </c>
      <c r="D351" s="2"/>
      <c r="E351" s="2"/>
      <c r="F351" s="2"/>
      <c r="G351" s="2"/>
      <c r="H351" s="2"/>
      <c r="I351" s="2"/>
    </row>
    <row r="352">
      <c r="A352" s="5"/>
      <c r="B352" s="2"/>
      <c r="C352" s="2" t="s">
        <v>646</v>
      </c>
      <c r="D352" s="2"/>
      <c r="E352" s="2"/>
      <c r="F352" s="2"/>
      <c r="G352" s="2"/>
      <c r="H352" s="2"/>
      <c r="I352" s="2"/>
    </row>
    <row r="353">
      <c r="A353" s="5"/>
      <c r="B353" s="2"/>
      <c r="C353" s="2" t="s">
        <v>646</v>
      </c>
      <c r="D353" s="2"/>
      <c r="E353" s="2"/>
      <c r="F353" s="2"/>
      <c r="G353" s="2"/>
      <c r="H353" s="2"/>
      <c r="I353" s="2"/>
    </row>
    <row r="354">
      <c r="A354" s="5"/>
      <c r="B354" s="2"/>
      <c r="C354" s="2" t="s">
        <v>646</v>
      </c>
      <c r="D354" s="2"/>
      <c r="E354" s="2"/>
      <c r="F354" s="2"/>
      <c r="G354" s="2"/>
      <c r="H354" s="2"/>
      <c r="I354" s="2"/>
    </row>
    <row r="355">
      <c r="A355" s="5"/>
      <c r="B355" s="2"/>
      <c r="C355" s="2" t="s">
        <v>646</v>
      </c>
      <c r="D355" s="2"/>
      <c r="E355" s="2"/>
      <c r="F355" s="2"/>
      <c r="G355" s="2"/>
      <c r="H355" s="2"/>
      <c r="I355" s="2"/>
    </row>
    <row r="356">
      <c r="A356" s="5"/>
      <c r="B356" s="2"/>
      <c r="C356" s="2" t="s">
        <v>646</v>
      </c>
      <c r="D356" s="2"/>
      <c r="E356" s="2"/>
      <c r="F356" s="2"/>
      <c r="G356" s="2"/>
      <c r="H356" s="2"/>
      <c r="I356" s="2"/>
    </row>
    <row r="357">
      <c r="A357" s="5"/>
      <c r="B357" s="2"/>
      <c r="C357" s="2" t="s">
        <v>646</v>
      </c>
      <c r="D357" s="2"/>
      <c r="E357" s="2"/>
      <c r="F357" s="2"/>
      <c r="G357" s="2"/>
      <c r="H357" s="2"/>
      <c r="I357" s="2"/>
    </row>
    <row r="358">
      <c r="A358" s="5"/>
      <c r="B358" s="2"/>
      <c r="C358" s="2" t="s">
        <v>646</v>
      </c>
      <c r="D358" s="2"/>
      <c r="E358" s="2"/>
      <c r="F358" s="2"/>
      <c r="G358" s="2"/>
      <c r="H358" s="2"/>
      <c r="I358" s="2"/>
    </row>
    <row r="359">
      <c r="A359" s="5"/>
      <c r="B359" s="2"/>
      <c r="C359" s="2" t="s">
        <v>646</v>
      </c>
      <c r="D359" s="2"/>
      <c r="E359" s="2"/>
      <c r="F359" s="2"/>
      <c r="G359" s="2"/>
      <c r="H359" s="2"/>
      <c r="I359" s="2"/>
    </row>
    <row r="360">
      <c r="A360" s="5"/>
      <c r="B360" s="2"/>
      <c r="C360" s="2" t="s">
        <v>646</v>
      </c>
      <c r="D360" s="2"/>
      <c r="E360" s="2"/>
      <c r="F360" s="2"/>
      <c r="G360" s="2"/>
      <c r="H360" s="2"/>
      <c r="I360" s="2"/>
    </row>
    <row r="361">
      <c r="A361" s="5"/>
      <c r="B361" s="2"/>
      <c r="C361" s="2" t="s">
        <v>646</v>
      </c>
      <c r="D361" s="2"/>
      <c r="E361" s="2"/>
      <c r="F361" s="2"/>
      <c r="G361" s="2"/>
      <c r="H361" s="2"/>
      <c r="I361" s="2"/>
    </row>
    <row r="362">
      <c r="A362" s="5"/>
      <c r="B362" s="2"/>
      <c r="C362" s="2" t="s">
        <v>646</v>
      </c>
      <c r="D362" s="2"/>
      <c r="E362" s="2"/>
      <c r="F362" s="2"/>
      <c r="G362" s="2"/>
      <c r="H362" s="2"/>
      <c r="I362" s="2"/>
    </row>
    <row r="363">
      <c r="A363" s="5"/>
      <c r="B363" s="2"/>
      <c r="C363" s="2" t="s">
        <v>646</v>
      </c>
      <c r="D363" s="2"/>
      <c r="E363" s="2"/>
      <c r="F363" s="2"/>
      <c r="G363" s="2"/>
      <c r="H363" s="2"/>
      <c r="I363" s="2"/>
    </row>
    <row r="364">
      <c r="A364" s="5"/>
      <c r="B364" s="2"/>
      <c r="C364" s="2" t="s">
        <v>646</v>
      </c>
      <c r="D364" s="2"/>
      <c r="E364" s="2"/>
      <c r="F364" s="2"/>
      <c r="G364" s="2"/>
      <c r="H364" s="2"/>
      <c r="I364" s="2"/>
    </row>
    <row r="365">
      <c r="A365" s="5"/>
      <c r="B365" s="2"/>
      <c r="C365" s="2" t="s">
        <v>646</v>
      </c>
      <c r="D365" s="2"/>
      <c r="E365" s="2"/>
      <c r="F365" s="2"/>
      <c r="G365" s="2"/>
      <c r="H365" s="2"/>
      <c r="I365" s="2"/>
    </row>
    <row r="366">
      <c r="A366" s="5"/>
      <c r="B366" s="2"/>
      <c r="C366" s="2" t="s">
        <v>646</v>
      </c>
      <c r="D366" s="2"/>
      <c r="E366" s="2"/>
      <c r="F366" s="2"/>
      <c r="G366" s="2"/>
      <c r="H366" s="2"/>
      <c r="I366" s="2"/>
    </row>
    <row r="367">
      <c r="A367" s="5"/>
      <c r="B367" s="2"/>
      <c r="C367" s="2" t="s">
        <v>646</v>
      </c>
      <c r="D367" s="2"/>
      <c r="E367" s="2"/>
      <c r="F367" s="2"/>
      <c r="G367" s="2"/>
      <c r="H367" s="2"/>
      <c r="I367" s="2"/>
    </row>
    <row r="368">
      <c r="A368" s="5"/>
      <c r="B368" s="2"/>
      <c r="C368" s="2" t="s">
        <v>646</v>
      </c>
      <c r="D368" s="2"/>
      <c r="E368" s="2"/>
      <c r="F368" s="2"/>
      <c r="G368" s="2"/>
      <c r="H368" s="2"/>
      <c r="I368" s="2"/>
    </row>
    <row r="369">
      <c r="A369" s="5"/>
      <c r="B369" s="2"/>
      <c r="C369" s="2" t="s">
        <v>646</v>
      </c>
      <c r="D369" s="2"/>
      <c r="E369" s="2"/>
      <c r="F369" s="2"/>
      <c r="G369" s="2"/>
      <c r="H369" s="2"/>
      <c r="I369" s="2"/>
    </row>
    <row r="370">
      <c r="A370" s="5"/>
      <c r="B370" s="2"/>
      <c r="C370" s="2" t="s">
        <v>646</v>
      </c>
      <c r="D370" s="2"/>
      <c r="E370" s="2"/>
      <c r="F370" s="2"/>
      <c r="G370" s="2"/>
      <c r="H370" s="2"/>
      <c r="I370" s="2"/>
    </row>
    <row r="371">
      <c r="A371" s="5"/>
      <c r="B371" s="2"/>
      <c r="C371" s="2" t="s">
        <v>646</v>
      </c>
      <c r="D371" s="2"/>
      <c r="E371" s="2"/>
      <c r="F371" s="2"/>
      <c r="G371" s="2"/>
      <c r="H371" s="2"/>
      <c r="I371" s="2"/>
    </row>
    <row r="372">
      <c r="A372" s="5"/>
      <c r="B372" s="2"/>
      <c r="C372" s="2" t="s">
        <v>646</v>
      </c>
      <c r="D372" s="2"/>
      <c r="E372" s="2"/>
      <c r="F372" s="2"/>
      <c r="G372" s="2"/>
      <c r="H372" s="2"/>
      <c r="I372" s="2"/>
    </row>
    <row r="373">
      <c r="A373" s="5"/>
      <c r="B373" s="2"/>
      <c r="C373" s="2" t="s">
        <v>646</v>
      </c>
      <c r="D373" s="2"/>
      <c r="E373" s="2"/>
      <c r="F373" s="2"/>
      <c r="G373" s="2"/>
      <c r="H373" s="2"/>
      <c r="I373" s="2"/>
    </row>
    <row r="374">
      <c r="A374" s="5"/>
      <c r="B374" s="2"/>
      <c r="C374" s="2" t="s">
        <v>646</v>
      </c>
      <c r="D374" s="2"/>
      <c r="E374" s="2"/>
      <c r="F374" s="2"/>
      <c r="G374" s="2"/>
      <c r="H374" s="2"/>
      <c r="I374" s="2"/>
    </row>
    <row r="375">
      <c r="A375" s="5"/>
      <c r="B375" s="2"/>
      <c r="C375" s="2" t="s">
        <v>646</v>
      </c>
      <c r="D375" s="2"/>
      <c r="E375" s="2"/>
      <c r="F375" s="2"/>
      <c r="G375" s="2"/>
      <c r="H375" s="2"/>
      <c r="I375" s="2"/>
    </row>
    <row r="376">
      <c r="A376" s="5"/>
      <c r="B376" s="2"/>
      <c r="C376" s="2" t="s">
        <v>646</v>
      </c>
      <c r="D376" s="2"/>
      <c r="E376" s="2"/>
      <c r="F376" s="2"/>
      <c r="G376" s="2"/>
      <c r="H376" s="2"/>
      <c r="I376" s="2"/>
    </row>
    <row r="377">
      <c r="A377" s="5"/>
      <c r="B377" s="2"/>
      <c r="C377" s="2" t="s">
        <v>646</v>
      </c>
      <c r="D377" s="2"/>
      <c r="E377" s="2"/>
      <c r="F377" s="2"/>
      <c r="G377" s="2"/>
      <c r="H377" s="2"/>
      <c r="I377" s="2"/>
    </row>
    <row r="378">
      <c r="A378" s="5"/>
      <c r="B378" s="2"/>
      <c r="C378" s="2" t="s">
        <v>646</v>
      </c>
      <c r="D378" s="2"/>
      <c r="E378" s="2"/>
      <c r="F378" s="2"/>
      <c r="G378" s="2"/>
      <c r="H378" s="2"/>
      <c r="I378" s="2"/>
    </row>
    <row r="379">
      <c r="A379" s="5"/>
      <c r="B379" s="2"/>
      <c r="C379" s="2" t="s">
        <v>646</v>
      </c>
      <c r="D379" s="2"/>
      <c r="E379" s="2"/>
      <c r="F379" s="2"/>
      <c r="G379" s="2"/>
      <c r="H379" s="2"/>
      <c r="I379" s="2"/>
    </row>
    <row r="380">
      <c r="A380" s="5"/>
      <c r="B380" s="2"/>
      <c r="C380" s="2" t="s">
        <v>646</v>
      </c>
      <c r="D380" s="2"/>
      <c r="E380" s="2"/>
      <c r="F380" s="2"/>
      <c r="G380" s="2"/>
      <c r="H380" s="2"/>
      <c r="I380" s="2"/>
    </row>
    <row r="381">
      <c r="A381" s="5"/>
      <c r="B381" s="2"/>
      <c r="C381" s="2" t="s">
        <v>646</v>
      </c>
      <c r="D381" s="2"/>
      <c r="E381" s="2"/>
      <c r="F381" s="2"/>
      <c r="G381" s="2"/>
      <c r="H381" s="2"/>
      <c r="I381" s="2"/>
    </row>
    <row r="382">
      <c r="A382" s="5"/>
      <c r="B382" s="2"/>
      <c r="C382" s="2" t="s">
        <v>646</v>
      </c>
      <c r="D382" s="2"/>
      <c r="E382" s="2"/>
      <c r="F382" s="2"/>
      <c r="G382" s="2"/>
      <c r="H382" s="2"/>
      <c r="I382" s="2"/>
    </row>
    <row r="383">
      <c r="A383" s="5"/>
      <c r="B383" s="2"/>
      <c r="C383" s="2" t="s">
        <v>646</v>
      </c>
      <c r="D383" s="2"/>
      <c r="E383" s="2"/>
      <c r="F383" s="2"/>
      <c r="G383" s="2"/>
      <c r="H383" s="2"/>
      <c r="I383" s="2"/>
    </row>
    <row r="384">
      <c r="A384" s="5"/>
      <c r="B384" s="2"/>
      <c r="C384" s="2" t="s">
        <v>646</v>
      </c>
      <c r="D384" s="2"/>
      <c r="E384" s="2"/>
      <c r="F384" s="2"/>
      <c r="G384" s="2"/>
      <c r="H384" s="2"/>
      <c r="I384" s="2"/>
    </row>
    <row r="385">
      <c r="A385" s="5"/>
      <c r="B385" s="2"/>
      <c r="C385" s="2" t="s">
        <v>646</v>
      </c>
      <c r="D385" s="2"/>
      <c r="E385" s="2"/>
      <c r="F385" s="2"/>
      <c r="G385" s="2"/>
      <c r="H385" s="2"/>
      <c r="I385" s="2"/>
    </row>
    <row r="386">
      <c r="A386" s="5"/>
      <c r="B386" s="2"/>
      <c r="C386" s="2" t="s">
        <v>646</v>
      </c>
      <c r="D386" s="2"/>
      <c r="E386" s="2"/>
      <c r="F386" s="2"/>
      <c r="G386" s="2"/>
      <c r="H386" s="2"/>
      <c r="I386" s="2"/>
    </row>
    <row r="387">
      <c r="A387" s="5"/>
      <c r="B387" s="2"/>
      <c r="C387" s="2" t="s">
        <v>646</v>
      </c>
      <c r="D387" s="2"/>
      <c r="E387" s="2"/>
      <c r="F387" s="2"/>
      <c r="G387" s="2"/>
      <c r="H387" s="2"/>
      <c r="I387" s="2"/>
    </row>
    <row r="388">
      <c r="A388" s="5"/>
      <c r="B388" s="2"/>
      <c r="C388" s="2" t="s">
        <v>646</v>
      </c>
      <c r="D388" s="2"/>
      <c r="E388" s="2"/>
      <c r="F388" s="2"/>
      <c r="G388" s="2"/>
      <c r="H388" s="2"/>
      <c r="I388" s="2"/>
    </row>
    <row r="389">
      <c r="A389" s="5"/>
      <c r="B389" s="2"/>
      <c r="C389" s="2" t="s">
        <v>646</v>
      </c>
      <c r="D389" s="2"/>
      <c r="E389" s="2"/>
      <c r="F389" s="2"/>
      <c r="G389" s="2"/>
      <c r="H389" s="2"/>
      <c r="I389" s="2"/>
    </row>
    <row r="390">
      <c r="A390" s="5"/>
      <c r="B390" s="2"/>
      <c r="C390" s="2" t="s">
        <v>646</v>
      </c>
      <c r="D390" s="2"/>
      <c r="E390" s="2"/>
      <c r="F390" s="2"/>
      <c r="G390" s="2"/>
      <c r="H390" s="2"/>
      <c r="I390" s="2"/>
    </row>
    <row r="391">
      <c r="A391" s="5"/>
      <c r="B391" s="2"/>
      <c r="C391" s="2" t="s">
        <v>646</v>
      </c>
      <c r="D391" s="2"/>
      <c r="E391" s="2"/>
      <c r="F391" s="2"/>
      <c r="G391" s="2"/>
      <c r="H391" s="2"/>
      <c r="I391" s="2"/>
    </row>
    <row r="392">
      <c r="A392" s="5"/>
      <c r="B392" s="2"/>
      <c r="C392" s="2" t="s">
        <v>646</v>
      </c>
      <c r="D392" s="2"/>
      <c r="E392" s="2"/>
      <c r="F392" s="2"/>
      <c r="G392" s="2"/>
      <c r="H392" s="2"/>
      <c r="I392" s="2"/>
    </row>
    <row r="393">
      <c r="A393" s="5"/>
      <c r="B393" s="2"/>
      <c r="C393" s="2" t="s">
        <v>646</v>
      </c>
      <c r="D393" s="2"/>
      <c r="E393" s="2"/>
      <c r="F393" s="2"/>
      <c r="G393" s="2"/>
      <c r="H393" s="2"/>
      <c r="I393" s="2"/>
    </row>
    <row r="394">
      <c r="A394" s="5"/>
      <c r="B394" s="2"/>
      <c r="C394" s="2" t="s">
        <v>646</v>
      </c>
      <c r="D394" s="2"/>
      <c r="E394" s="2"/>
      <c r="F394" s="2"/>
      <c r="G394" s="2"/>
      <c r="H394" s="2"/>
      <c r="I394" s="2"/>
    </row>
    <row r="395">
      <c r="A395" s="5"/>
      <c r="B395" s="2"/>
      <c r="C395" s="2" t="s">
        <v>646</v>
      </c>
      <c r="D395" s="2"/>
      <c r="E395" s="2"/>
      <c r="F395" s="2"/>
      <c r="G395" s="2"/>
      <c r="H395" s="2"/>
      <c r="I395" s="2"/>
    </row>
    <row r="396">
      <c r="A396" s="5"/>
      <c r="B396" s="2"/>
      <c r="C396" s="2" t="s">
        <v>646</v>
      </c>
      <c r="D396" s="2"/>
      <c r="E396" s="2"/>
      <c r="F396" s="2"/>
      <c r="G396" s="2"/>
      <c r="H396" s="2"/>
      <c r="I396" s="2"/>
    </row>
    <row r="397">
      <c r="A397" s="5"/>
      <c r="B397" s="2"/>
      <c r="C397" s="2" t="s">
        <v>646</v>
      </c>
      <c r="D397" s="2"/>
      <c r="E397" s="2"/>
      <c r="F397" s="2"/>
      <c r="G397" s="2"/>
      <c r="H397" s="2"/>
      <c r="I397" s="2"/>
    </row>
    <row r="398">
      <c r="A398" s="5"/>
      <c r="B398" s="2"/>
      <c r="C398" s="2" t="s">
        <v>646</v>
      </c>
      <c r="D398" s="2"/>
      <c r="E398" s="2"/>
      <c r="F398" s="2"/>
      <c r="G398" s="2"/>
      <c r="H398" s="2"/>
      <c r="I398" s="2"/>
    </row>
    <row r="399">
      <c r="A399" s="5"/>
      <c r="B399" s="2"/>
      <c r="C399" s="2" t="s">
        <v>646</v>
      </c>
      <c r="D399" s="2"/>
      <c r="E399" s="2"/>
      <c r="F399" s="2"/>
      <c r="G399" s="2"/>
      <c r="H399" s="2"/>
      <c r="I399" s="2"/>
    </row>
    <row r="400">
      <c r="A400" s="5"/>
      <c r="B400" s="2"/>
      <c r="C400" s="2" t="s">
        <v>646</v>
      </c>
      <c r="D400" s="2"/>
      <c r="E400" s="2"/>
      <c r="F400" s="2"/>
      <c r="G400" s="2"/>
      <c r="H400" s="2"/>
      <c r="I400" s="2"/>
    </row>
    <row r="401">
      <c r="A401" s="5"/>
      <c r="B401" s="2"/>
      <c r="C401" s="2" t="s">
        <v>646</v>
      </c>
      <c r="D401" s="2"/>
      <c r="E401" s="2"/>
      <c r="F401" s="2"/>
      <c r="G401" s="2"/>
      <c r="H401" s="2"/>
      <c r="I401" s="2"/>
    </row>
    <row r="402">
      <c r="A402" s="5"/>
      <c r="B402" s="2"/>
      <c r="C402" s="2" t="s">
        <v>646</v>
      </c>
      <c r="D402" s="2"/>
      <c r="E402" s="2"/>
      <c r="F402" s="2"/>
      <c r="G402" s="2"/>
      <c r="H402" s="2"/>
      <c r="I402" s="2"/>
    </row>
    <row r="403">
      <c r="A403" s="5"/>
      <c r="B403" s="2"/>
      <c r="C403" s="2" t="s">
        <v>646</v>
      </c>
      <c r="D403" s="2"/>
      <c r="E403" s="2"/>
      <c r="F403" s="2"/>
      <c r="G403" s="2"/>
      <c r="H403" s="2"/>
      <c r="I403" s="2"/>
    </row>
    <row r="404">
      <c r="A404" s="5"/>
      <c r="B404" s="2"/>
      <c r="C404" s="2" t="s">
        <v>646</v>
      </c>
      <c r="D404" s="2"/>
      <c r="E404" s="2"/>
      <c r="F404" s="2"/>
      <c r="G404" s="2"/>
      <c r="H404" s="2"/>
      <c r="I404" s="2"/>
    </row>
    <row r="405">
      <c r="A405" s="5"/>
      <c r="B405" s="2"/>
      <c r="C405" s="2" t="s">
        <v>646</v>
      </c>
      <c r="D405" s="2"/>
      <c r="E405" s="2"/>
      <c r="F405" s="2"/>
      <c r="G405" s="2"/>
      <c r="H405" s="2"/>
      <c r="I405" s="2"/>
    </row>
    <row r="406">
      <c r="A406" s="5"/>
      <c r="B406" s="2"/>
      <c r="C406" s="2" t="s">
        <v>646</v>
      </c>
      <c r="D406" s="2"/>
      <c r="E406" s="2"/>
      <c r="F406" s="2"/>
      <c r="G406" s="2"/>
      <c r="H406" s="2"/>
      <c r="I406" s="2"/>
    </row>
    <row r="407">
      <c r="A407" s="5"/>
      <c r="B407" s="2"/>
      <c r="C407" s="2" t="s">
        <v>646</v>
      </c>
      <c r="D407" s="2"/>
      <c r="E407" s="2"/>
      <c r="F407" s="2"/>
      <c r="G407" s="2"/>
      <c r="H407" s="2"/>
      <c r="I407" s="2"/>
    </row>
    <row r="408">
      <c r="A408" s="5"/>
      <c r="B408" s="2"/>
      <c r="C408" s="2" t="s">
        <v>646</v>
      </c>
      <c r="D408" s="2"/>
      <c r="E408" s="2"/>
      <c r="F408" s="2"/>
      <c r="G408" s="2"/>
      <c r="H408" s="2"/>
      <c r="I408" s="2"/>
    </row>
    <row r="409">
      <c r="A409" s="5"/>
      <c r="B409" s="2"/>
      <c r="C409" s="2" t="s">
        <v>646</v>
      </c>
      <c r="D409" s="2"/>
      <c r="E409" s="2"/>
      <c r="F409" s="2"/>
      <c r="G409" s="2"/>
      <c r="H409" s="2"/>
      <c r="I409" s="2"/>
    </row>
    <row r="410">
      <c r="A410" s="5"/>
      <c r="B410" s="2"/>
      <c r="C410" s="2" t="s">
        <v>646</v>
      </c>
      <c r="D410" s="2"/>
      <c r="E410" s="2"/>
      <c r="F410" s="2"/>
      <c r="G410" s="2"/>
      <c r="H410" s="2"/>
      <c r="I410" s="2"/>
    </row>
    <row r="411">
      <c r="A411" s="5"/>
      <c r="B411" s="2"/>
      <c r="C411" s="2" t="s">
        <v>646</v>
      </c>
      <c r="D411" s="2"/>
      <c r="E411" s="2"/>
      <c r="F411" s="2"/>
      <c r="G411" s="2"/>
      <c r="H411" s="2"/>
      <c r="I411" s="2"/>
    </row>
    <row r="412">
      <c r="A412" s="5"/>
      <c r="B412" s="2"/>
      <c r="C412" s="2" t="s">
        <v>646</v>
      </c>
      <c r="D412" s="2"/>
      <c r="E412" s="2"/>
      <c r="F412" s="2"/>
      <c r="G412" s="2"/>
      <c r="H412" s="2"/>
      <c r="I412" s="2"/>
    </row>
    <row r="413">
      <c r="A413" s="5"/>
      <c r="B413" s="2"/>
      <c r="C413" s="2" t="s">
        <v>646</v>
      </c>
      <c r="D413" s="2"/>
      <c r="E413" s="2"/>
      <c r="F413" s="2"/>
      <c r="G413" s="2"/>
      <c r="H413" s="2"/>
      <c r="I413" s="2"/>
    </row>
    <row r="414">
      <c r="A414" s="5"/>
      <c r="B414" s="2"/>
      <c r="C414" s="2" t="s">
        <v>646</v>
      </c>
      <c r="D414" s="2"/>
      <c r="E414" s="2"/>
      <c r="F414" s="2"/>
      <c r="G414" s="2"/>
      <c r="H414" s="2"/>
      <c r="I414" s="2"/>
    </row>
    <row r="415">
      <c r="A415" s="5"/>
      <c r="B415" s="2"/>
      <c r="C415" s="2" t="s">
        <v>646</v>
      </c>
      <c r="D415" s="2"/>
      <c r="E415" s="2"/>
      <c r="F415" s="2"/>
      <c r="G415" s="2"/>
      <c r="H415" s="2"/>
      <c r="I415" s="2"/>
    </row>
    <row r="416">
      <c r="A416" s="5"/>
      <c r="B416" s="2"/>
      <c r="C416" s="2" t="s">
        <v>646</v>
      </c>
      <c r="D416" s="2"/>
      <c r="E416" s="2"/>
      <c r="F416" s="2"/>
      <c r="G416" s="2"/>
      <c r="H416" s="2"/>
      <c r="I416" s="2"/>
    </row>
    <row r="417">
      <c r="A417" s="5"/>
      <c r="B417" s="2"/>
      <c r="C417" s="2" t="s">
        <v>646</v>
      </c>
      <c r="D417" s="2"/>
      <c r="E417" s="2"/>
      <c r="F417" s="2"/>
      <c r="G417" s="2"/>
      <c r="H417" s="2"/>
      <c r="I417" s="2"/>
    </row>
    <row r="418">
      <c r="A418" s="5"/>
      <c r="B418" s="2"/>
      <c r="C418" s="2" t="s">
        <v>646</v>
      </c>
      <c r="D418" s="2"/>
      <c r="E418" s="2"/>
      <c r="F418" s="2"/>
      <c r="G418" s="2"/>
      <c r="H418" s="2"/>
      <c r="I418" s="2"/>
    </row>
    <row r="419">
      <c r="A419" s="5"/>
      <c r="B419" s="2"/>
      <c r="C419" s="2" t="s">
        <v>646</v>
      </c>
      <c r="D419" s="2"/>
      <c r="E419" s="2"/>
      <c r="F419" s="2"/>
      <c r="G419" s="2"/>
      <c r="H419" s="2"/>
      <c r="I419" s="2"/>
    </row>
    <row r="420">
      <c r="A420" s="5"/>
      <c r="B420" s="2"/>
      <c r="C420" s="2" t="s">
        <v>646</v>
      </c>
      <c r="D420" s="2"/>
      <c r="E420" s="2"/>
      <c r="F420" s="2"/>
      <c r="G420" s="2"/>
      <c r="H420" s="2"/>
      <c r="I420" s="2"/>
    </row>
    <row r="421">
      <c r="A421" s="5"/>
      <c r="B421" s="2"/>
      <c r="C421" s="2" t="s">
        <v>646</v>
      </c>
      <c r="D421" s="2"/>
      <c r="E421" s="2"/>
      <c r="F421" s="2"/>
      <c r="G421" s="2"/>
      <c r="H421" s="2"/>
      <c r="I421" s="2"/>
    </row>
    <row r="422">
      <c r="A422" s="5"/>
      <c r="B422" s="2"/>
      <c r="C422" s="2" t="s">
        <v>646</v>
      </c>
      <c r="D422" s="2"/>
      <c r="E422" s="2"/>
      <c r="F422" s="2"/>
      <c r="G422" s="2"/>
      <c r="H422" s="2"/>
      <c r="I422" s="2"/>
    </row>
    <row r="423">
      <c r="A423" s="5"/>
      <c r="B423" s="2"/>
      <c r="C423" s="2" t="s">
        <v>646</v>
      </c>
      <c r="D423" s="2"/>
      <c r="E423" s="2"/>
      <c r="F423" s="2"/>
      <c r="G423" s="2"/>
      <c r="H423" s="2"/>
      <c r="I423" s="2"/>
    </row>
    <row r="424">
      <c r="A424" s="5"/>
      <c r="B424" s="2"/>
      <c r="C424" s="2" t="s">
        <v>646</v>
      </c>
      <c r="D424" s="2"/>
      <c r="E424" s="2"/>
      <c r="F424" s="2"/>
      <c r="G424" s="2"/>
      <c r="H424" s="2"/>
      <c r="I424" s="2"/>
    </row>
    <row r="425">
      <c r="A425" s="5"/>
      <c r="B425" s="2"/>
      <c r="C425" s="2" t="s">
        <v>646</v>
      </c>
      <c r="D425" s="2"/>
      <c r="E425" s="2"/>
      <c r="F425" s="2"/>
      <c r="G425" s="2"/>
      <c r="H425" s="2"/>
      <c r="I425" s="2"/>
    </row>
    <row r="426">
      <c r="A426" s="5"/>
      <c r="B426" s="2"/>
      <c r="C426" s="2" t="s">
        <v>646</v>
      </c>
      <c r="D426" s="2"/>
      <c r="E426" s="2"/>
      <c r="F426" s="2"/>
      <c r="G426" s="2"/>
      <c r="H426" s="2"/>
      <c r="I426" s="2"/>
    </row>
    <row r="427">
      <c r="A427" s="5"/>
      <c r="B427" s="2"/>
      <c r="C427" s="2" t="s">
        <v>646</v>
      </c>
      <c r="D427" s="2"/>
      <c r="E427" s="2"/>
      <c r="F427" s="2"/>
      <c r="G427" s="2"/>
      <c r="H427" s="2"/>
      <c r="I427" s="2"/>
    </row>
    <row r="428">
      <c r="A428" s="5"/>
      <c r="B428" s="2"/>
      <c r="C428" s="2" t="s">
        <v>646</v>
      </c>
      <c r="D428" s="2"/>
      <c r="E428" s="2"/>
      <c r="F428" s="2"/>
      <c r="G428" s="2"/>
      <c r="H428" s="2"/>
      <c r="I428" s="2"/>
    </row>
    <row r="429">
      <c r="A429" s="5"/>
      <c r="B429" s="2"/>
      <c r="C429" s="2" t="s">
        <v>646</v>
      </c>
      <c r="D429" s="2"/>
      <c r="E429" s="2"/>
      <c r="F429" s="2"/>
      <c r="G429" s="2"/>
      <c r="H429" s="2"/>
      <c r="I429" s="2"/>
    </row>
    <row r="430">
      <c r="A430" s="5"/>
      <c r="B430" s="2"/>
      <c r="C430" s="2" t="s">
        <v>646</v>
      </c>
      <c r="D430" s="2"/>
      <c r="E430" s="2"/>
      <c r="F430" s="2"/>
      <c r="G430" s="2"/>
      <c r="H430" s="2"/>
      <c r="I430" s="2"/>
    </row>
    <row r="431">
      <c r="A431" s="5"/>
      <c r="B431" s="2"/>
      <c r="C431" s="2" t="s">
        <v>646</v>
      </c>
      <c r="D431" s="2"/>
      <c r="E431" s="2"/>
      <c r="F431" s="2"/>
      <c r="G431" s="2"/>
      <c r="H431" s="2"/>
      <c r="I431" s="2"/>
    </row>
    <row r="432">
      <c r="A432" s="5"/>
      <c r="B432" s="2"/>
      <c r="C432" s="2" t="s">
        <v>646</v>
      </c>
      <c r="D432" s="2"/>
      <c r="E432" s="2"/>
      <c r="F432" s="2"/>
      <c r="G432" s="2"/>
      <c r="H432" s="2"/>
      <c r="I432" s="2"/>
    </row>
    <row r="433">
      <c r="A433" s="5"/>
      <c r="B433" s="2"/>
      <c r="C433" s="2" t="s">
        <v>646</v>
      </c>
      <c r="D433" s="2"/>
      <c r="E433" s="2"/>
      <c r="F433" s="2"/>
      <c r="G433" s="2"/>
      <c r="H433" s="2"/>
      <c r="I433" s="2"/>
    </row>
    <row r="434">
      <c r="A434" s="5"/>
      <c r="B434" s="2"/>
      <c r="C434" s="2" t="s">
        <v>646</v>
      </c>
      <c r="D434" s="2"/>
      <c r="E434" s="2"/>
      <c r="F434" s="2"/>
      <c r="G434" s="2"/>
      <c r="H434" s="2"/>
      <c r="I434" s="2"/>
    </row>
    <row r="435">
      <c r="A435" s="5"/>
      <c r="B435" s="2"/>
      <c r="C435" s="2" t="s">
        <v>646</v>
      </c>
      <c r="D435" s="2"/>
      <c r="E435" s="2"/>
      <c r="F435" s="2"/>
      <c r="G435" s="2"/>
      <c r="H435" s="2"/>
      <c r="I435" s="2"/>
    </row>
    <row r="436">
      <c r="A436" s="5"/>
      <c r="B436" s="2"/>
      <c r="C436" s="2" t="s">
        <v>646</v>
      </c>
      <c r="D436" s="2"/>
      <c r="E436" s="2"/>
      <c r="F436" s="2"/>
      <c r="G436" s="2"/>
      <c r="H436" s="2"/>
      <c r="I436" s="2"/>
    </row>
    <row r="437">
      <c r="A437" s="5"/>
      <c r="B437" s="2"/>
      <c r="C437" s="2" t="s">
        <v>646</v>
      </c>
      <c r="D437" s="2"/>
      <c r="E437" s="2"/>
      <c r="F437" s="2"/>
      <c r="G437" s="2"/>
      <c r="H437" s="2"/>
      <c r="I437" s="2"/>
    </row>
    <row r="438">
      <c r="A438" s="5"/>
      <c r="B438" s="2"/>
      <c r="C438" s="2" t="s">
        <v>646</v>
      </c>
      <c r="D438" s="2"/>
      <c r="E438" s="2"/>
      <c r="F438" s="2"/>
      <c r="G438" s="2"/>
      <c r="H438" s="2"/>
      <c r="I438" s="2"/>
    </row>
    <row r="439">
      <c r="A439" s="5"/>
      <c r="B439" s="2"/>
      <c r="C439" s="2" t="s">
        <v>646</v>
      </c>
      <c r="D439" s="2"/>
      <c r="E439" s="2"/>
      <c r="F439" s="2"/>
      <c r="G439" s="2"/>
      <c r="H439" s="2"/>
      <c r="I439" s="2"/>
    </row>
    <row r="440">
      <c r="A440" s="5"/>
      <c r="B440" s="2"/>
      <c r="C440" s="2" t="s">
        <v>646</v>
      </c>
      <c r="D440" s="2"/>
      <c r="E440" s="2"/>
      <c r="F440" s="2"/>
      <c r="G440" s="2"/>
      <c r="H440" s="2"/>
      <c r="I440" s="2"/>
    </row>
    <row r="441">
      <c r="A441" s="5"/>
      <c r="B441" s="2"/>
      <c r="C441" s="2" t="s">
        <v>646</v>
      </c>
      <c r="D441" s="2"/>
      <c r="E441" s="2"/>
      <c r="F441" s="2"/>
      <c r="G441" s="2"/>
      <c r="H441" s="2"/>
      <c r="I441" s="2"/>
    </row>
    <row r="442">
      <c r="A442" s="5"/>
      <c r="B442" s="2"/>
      <c r="C442" s="2" t="s">
        <v>646</v>
      </c>
      <c r="D442" s="2"/>
      <c r="E442" s="2"/>
      <c r="F442" s="2"/>
      <c r="G442" s="2"/>
      <c r="H442" s="2"/>
      <c r="I442" s="2"/>
    </row>
    <row r="443">
      <c r="A443" s="5"/>
      <c r="B443" s="2"/>
      <c r="C443" s="2" t="s">
        <v>646</v>
      </c>
      <c r="D443" s="2"/>
      <c r="E443" s="2"/>
      <c r="F443" s="2"/>
      <c r="G443" s="2"/>
      <c r="H443" s="2"/>
      <c r="I443" s="2"/>
    </row>
    <row r="444">
      <c r="A444" s="5"/>
      <c r="B444" s="2"/>
      <c r="C444" s="2" t="s">
        <v>646</v>
      </c>
      <c r="D444" s="2"/>
      <c r="E444" s="2"/>
      <c r="F444" s="2"/>
      <c r="G444" s="2"/>
      <c r="H444" s="2"/>
      <c r="I444" s="2"/>
    </row>
    <row r="445">
      <c r="A445" s="5"/>
      <c r="B445" s="2"/>
      <c r="C445" s="2" t="s">
        <v>646</v>
      </c>
      <c r="D445" s="2"/>
      <c r="E445" s="2"/>
      <c r="F445" s="2"/>
      <c r="G445" s="2"/>
      <c r="H445" s="2"/>
      <c r="I445" s="2"/>
    </row>
    <row r="446">
      <c r="A446" s="5"/>
      <c r="B446" s="2"/>
      <c r="C446" s="2" t="s">
        <v>646</v>
      </c>
      <c r="D446" s="2"/>
      <c r="E446" s="2"/>
      <c r="F446" s="2"/>
      <c r="G446" s="2"/>
      <c r="H446" s="2"/>
      <c r="I446" s="2"/>
    </row>
    <row r="447">
      <c r="A447" s="5"/>
      <c r="B447" s="2"/>
      <c r="C447" s="2" t="s">
        <v>646</v>
      </c>
      <c r="D447" s="2"/>
      <c r="E447" s="2"/>
      <c r="F447" s="2"/>
      <c r="G447" s="2"/>
      <c r="H447" s="2"/>
      <c r="I447" s="2"/>
    </row>
    <row r="448">
      <c r="A448" s="5"/>
      <c r="B448" s="2"/>
      <c r="C448" s="2" t="s">
        <v>646</v>
      </c>
      <c r="D448" s="2"/>
      <c r="E448" s="2"/>
      <c r="F448" s="2"/>
      <c r="G448" s="2"/>
      <c r="H448" s="2"/>
      <c r="I448" s="2"/>
    </row>
    <row r="449">
      <c r="A449" s="5"/>
      <c r="B449" s="2"/>
      <c r="C449" s="2" t="s">
        <v>646</v>
      </c>
      <c r="D449" s="2"/>
      <c r="E449" s="2"/>
      <c r="F449" s="2"/>
      <c r="G449" s="2"/>
      <c r="H449" s="2"/>
      <c r="I449" s="2"/>
    </row>
    <row r="450">
      <c r="A450" s="5"/>
      <c r="B450" s="2"/>
      <c r="C450" s="2" t="s">
        <v>646</v>
      </c>
      <c r="D450" s="2"/>
      <c r="E450" s="2"/>
      <c r="F450" s="2"/>
      <c r="G450" s="2"/>
      <c r="H450" s="2"/>
      <c r="I450" s="2"/>
    </row>
    <row r="451">
      <c r="A451" s="5"/>
      <c r="B451" s="2"/>
      <c r="C451" s="2" t="s">
        <v>646</v>
      </c>
      <c r="D451" s="2"/>
      <c r="E451" s="2"/>
      <c r="F451" s="2"/>
      <c r="G451" s="2"/>
      <c r="H451" s="2"/>
      <c r="I451" s="2"/>
    </row>
    <row r="452">
      <c r="A452" s="5"/>
      <c r="B452" s="2"/>
      <c r="C452" s="2" t="s">
        <v>646</v>
      </c>
      <c r="D452" s="2"/>
      <c r="E452" s="2"/>
      <c r="F452" s="2"/>
      <c r="G452" s="2"/>
      <c r="H452" s="2"/>
      <c r="I452" s="2"/>
    </row>
    <row r="453">
      <c r="A453" s="5"/>
      <c r="B453" s="2"/>
      <c r="C453" s="2" t="s">
        <v>646</v>
      </c>
      <c r="D453" s="2"/>
      <c r="E453" s="2"/>
      <c r="F453" s="2"/>
      <c r="G453" s="2"/>
      <c r="H453" s="2"/>
      <c r="I453" s="2"/>
    </row>
    <row r="454">
      <c r="A454" s="5"/>
      <c r="B454" s="2"/>
      <c r="C454" s="2" t="s">
        <v>646</v>
      </c>
      <c r="D454" s="2"/>
      <c r="E454" s="2"/>
      <c r="F454" s="2"/>
      <c r="G454" s="2"/>
      <c r="H454" s="2"/>
      <c r="I454" s="2"/>
    </row>
    <row r="455">
      <c r="A455" s="5"/>
      <c r="B455" s="2"/>
      <c r="C455" s="2" t="s">
        <v>646</v>
      </c>
      <c r="D455" s="2"/>
      <c r="E455" s="2"/>
      <c r="F455" s="2"/>
      <c r="G455" s="2"/>
      <c r="H455" s="2"/>
      <c r="I455" s="2"/>
    </row>
    <row r="456">
      <c r="A456" s="5"/>
      <c r="B456" s="2"/>
      <c r="C456" s="2" t="s">
        <v>646</v>
      </c>
      <c r="D456" s="2"/>
      <c r="E456" s="2"/>
      <c r="F456" s="2"/>
      <c r="G456" s="2"/>
      <c r="H456" s="2"/>
      <c r="I456" s="2"/>
    </row>
    <row r="457">
      <c r="A457" s="5"/>
      <c r="B457" s="2"/>
      <c r="C457" s="2" t="s">
        <v>646</v>
      </c>
      <c r="D457" s="2"/>
      <c r="E457" s="2"/>
      <c r="F457" s="2"/>
      <c r="G457" s="2"/>
      <c r="H457" s="2"/>
      <c r="I457" s="2"/>
    </row>
    <row r="458">
      <c r="A458" s="5"/>
      <c r="B458" s="2"/>
      <c r="C458" s="2" t="s">
        <v>646</v>
      </c>
      <c r="D458" s="2"/>
      <c r="E458" s="2"/>
      <c r="F458" s="2"/>
      <c r="G458" s="2"/>
      <c r="H458" s="2"/>
      <c r="I458" s="2"/>
    </row>
    <row r="459">
      <c r="A459" s="5"/>
      <c r="B459" s="2"/>
      <c r="C459" s="2" t="s">
        <v>646</v>
      </c>
      <c r="D459" s="2"/>
      <c r="E459" s="2"/>
      <c r="F459" s="2"/>
      <c r="G459" s="2"/>
      <c r="H459" s="2"/>
      <c r="I459" s="2"/>
    </row>
    <row r="460">
      <c r="A460" s="5"/>
      <c r="B460" s="2"/>
      <c r="C460" s="2" t="s">
        <v>646</v>
      </c>
      <c r="D460" s="2"/>
      <c r="E460" s="2"/>
      <c r="F460" s="2"/>
      <c r="G460" s="2"/>
      <c r="H460" s="2"/>
      <c r="I460" s="2"/>
    </row>
    <row r="461">
      <c r="A461" s="5"/>
      <c r="B461" s="2"/>
      <c r="C461" s="2" t="s">
        <v>646</v>
      </c>
      <c r="D461" s="2"/>
      <c r="E461" s="2"/>
      <c r="F461" s="2"/>
      <c r="G461" s="2"/>
      <c r="H461" s="2"/>
      <c r="I461" s="2"/>
    </row>
    <row r="462">
      <c r="A462" s="5"/>
      <c r="B462" s="2"/>
      <c r="C462" s="2" t="s">
        <v>646</v>
      </c>
      <c r="D462" s="2"/>
      <c r="E462" s="2"/>
      <c r="F462" s="2"/>
      <c r="G462" s="2"/>
      <c r="H462" s="2"/>
      <c r="I462" s="2"/>
    </row>
    <row r="463">
      <c r="A463" s="5"/>
      <c r="B463" s="2"/>
      <c r="C463" s="2" t="s">
        <v>646</v>
      </c>
      <c r="D463" s="2"/>
      <c r="E463" s="2"/>
      <c r="F463" s="2"/>
      <c r="G463" s="2"/>
      <c r="H463" s="2"/>
      <c r="I463" s="2"/>
    </row>
    <row r="464">
      <c r="A464" s="5"/>
      <c r="B464" s="2"/>
      <c r="C464" s="2" t="s">
        <v>646</v>
      </c>
      <c r="D464" s="2"/>
      <c r="E464" s="2"/>
      <c r="F464" s="2"/>
      <c r="G464" s="2"/>
      <c r="H464" s="2"/>
      <c r="I464" s="2"/>
    </row>
    <row r="465">
      <c r="A465" s="5"/>
      <c r="B465" s="2"/>
      <c r="C465" s="2" t="s">
        <v>646</v>
      </c>
      <c r="D465" s="2"/>
      <c r="E465" s="2"/>
      <c r="F465" s="2"/>
      <c r="G465" s="2"/>
      <c r="H465" s="2"/>
      <c r="I465" s="2"/>
    </row>
    <row r="466">
      <c r="A466" s="5"/>
      <c r="B466" s="2"/>
      <c r="C466" s="2" t="s">
        <v>646</v>
      </c>
      <c r="D466" s="2"/>
      <c r="E466" s="2"/>
      <c r="F466" s="2"/>
      <c r="G466" s="2"/>
      <c r="H466" s="2"/>
      <c r="I466" s="2"/>
    </row>
    <row r="467">
      <c r="A467" s="5"/>
      <c r="B467" s="2"/>
      <c r="C467" s="2" t="s">
        <v>646</v>
      </c>
      <c r="D467" s="2"/>
      <c r="E467" s="2"/>
      <c r="F467" s="2"/>
      <c r="G467" s="2"/>
      <c r="H467" s="2"/>
      <c r="I467" s="2"/>
    </row>
    <row r="468">
      <c r="A468" s="5"/>
      <c r="B468" s="2"/>
      <c r="C468" s="2" t="s">
        <v>646</v>
      </c>
      <c r="D468" s="2"/>
      <c r="E468" s="2"/>
      <c r="F468" s="2"/>
      <c r="G468" s="2"/>
      <c r="H468" s="2"/>
      <c r="I468" s="2"/>
    </row>
    <row r="469">
      <c r="A469" s="5"/>
      <c r="B469" s="2"/>
      <c r="C469" s="2" t="s">
        <v>646</v>
      </c>
      <c r="D469" s="2"/>
      <c r="E469" s="2"/>
      <c r="F469" s="2"/>
      <c r="G469" s="2"/>
      <c r="H469" s="2"/>
      <c r="I469" s="2"/>
    </row>
    <row r="470">
      <c r="A470" s="5"/>
      <c r="B470" s="2"/>
      <c r="C470" s="2" t="s">
        <v>646</v>
      </c>
      <c r="D470" s="2"/>
      <c r="E470" s="2"/>
      <c r="F470" s="2"/>
      <c r="G470" s="2"/>
      <c r="H470" s="2"/>
      <c r="I470" s="2"/>
    </row>
    <row r="471">
      <c r="A471" s="5"/>
      <c r="B471" s="2"/>
      <c r="C471" s="2" t="s">
        <v>646</v>
      </c>
      <c r="D471" s="2"/>
      <c r="E471" s="2"/>
      <c r="F471" s="2"/>
      <c r="G471" s="2"/>
      <c r="H471" s="2"/>
      <c r="I471" s="2"/>
    </row>
    <row r="472">
      <c r="A472" s="5"/>
      <c r="B472" s="2"/>
      <c r="C472" s="2" t="s">
        <v>646</v>
      </c>
      <c r="D472" s="2"/>
      <c r="E472" s="2"/>
      <c r="F472" s="2"/>
      <c r="G472" s="2"/>
      <c r="H472" s="2"/>
      <c r="I472" s="2"/>
    </row>
    <row r="473">
      <c r="A473" s="5"/>
      <c r="B473" s="2"/>
      <c r="C473" s="2" t="s">
        <v>646</v>
      </c>
      <c r="D473" s="2"/>
      <c r="E473" s="2"/>
      <c r="F473" s="2"/>
      <c r="G473" s="2"/>
      <c r="H473" s="2"/>
      <c r="I473" s="2"/>
    </row>
    <row r="474">
      <c r="A474" s="5"/>
      <c r="B474" s="2"/>
      <c r="C474" s="2" t="s">
        <v>646</v>
      </c>
      <c r="D474" s="2"/>
      <c r="E474" s="2"/>
      <c r="F474" s="2"/>
      <c r="G474" s="2"/>
      <c r="H474" s="2"/>
      <c r="I474" s="2"/>
    </row>
    <row r="475">
      <c r="A475" s="5"/>
      <c r="B475" s="2"/>
      <c r="C475" s="2" t="s">
        <v>646</v>
      </c>
      <c r="D475" s="2"/>
      <c r="E475" s="2"/>
      <c r="F475" s="2"/>
      <c r="G475" s="2"/>
      <c r="H475" s="2"/>
      <c r="I475" s="2"/>
    </row>
    <row r="476">
      <c r="A476" s="5"/>
      <c r="B476" s="2"/>
      <c r="C476" s="2" t="s">
        <v>646</v>
      </c>
      <c r="D476" s="2"/>
      <c r="E476" s="2"/>
      <c r="F476" s="2"/>
      <c r="G476" s="2"/>
      <c r="H476" s="2"/>
      <c r="I476" s="2"/>
    </row>
    <row r="477">
      <c r="A477" s="5"/>
      <c r="B477" s="2"/>
      <c r="C477" s="2" t="s">
        <v>646</v>
      </c>
      <c r="D477" s="2"/>
      <c r="E477" s="2"/>
      <c r="F477" s="2"/>
      <c r="G477" s="2"/>
      <c r="H477" s="2"/>
      <c r="I477" s="2"/>
    </row>
    <row r="478">
      <c r="A478" s="5"/>
      <c r="B478" s="2"/>
      <c r="C478" s="2" t="s">
        <v>646</v>
      </c>
      <c r="D478" s="2"/>
      <c r="E478" s="2"/>
      <c r="F478" s="2"/>
      <c r="G478" s="2"/>
      <c r="H478" s="2"/>
      <c r="I478" s="2"/>
    </row>
    <row r="479">
      <c r="A479" s="5"/>
      <c r="B479" s="2"/>
      <c r="C479" s="2" t="s">
        <v>646</v>
      </c>
      <c r="D479" s="2"/>
      <c r="E479" s="2"/>
      <c r="F479" s="2"/>
      <c r="G479" s="2"/>
      <c r="H479" s="2"/>
      <c r="I479" s="2"/>
    </row>
    <row r="480">
      <c r="A480" s="5"/>
      <c r="B480" s="2"/>
      <c r="C480" s="2" t="s">
        <v>646</v>
      </c>
      <c r="D480" s="2"/>
      <c r="E480" s="2"/>
      <c r="F480" s="2"/>
      <c r="G480" s="2"/>
      <c r="H480" s="2"/>
      <c r="I480" s="2"/>
    </row>
    <row r="481">
      <c r="A481" s="5"/>
      <c r="B481" s="2"/>
      <c r="C481" s="2" t="s">
        <v>646</v>
      </c>
      <c r="D481" s="2"/>
      <c r="E481" s="2"/>
      <c r="F481" s="2"/>
      <c r="G481" s="2"/>
      <c r="H481" s="2"/>
      <c r="I481" s="2"/>
    </row>
    <row r="482">
      <c r="A482" s="5"/>
      <c r="B482" s="2"/>
      <c r="C482" s="2" t="s">
        <v>646</v>
      </c>
      <c r="D482" s="2"/>
      <c r="E482" s="2"/>
      <c r="F482" s="2"/>
      <c r="G482" s="2"/>
      <c r="H482" s="2"/>
      <c r="I482" s="2"/>
    </row>
    <row r="483">
      <c r="A483" s="5"/>
      <c r="B483" s="2"/>
      <c r="C483" s="2" t="s">
        <v>646</v>
      </c>
      <c r="D483" s="2"/>
      <c r="E483" s="2"/>
      <c r="F483" s="2"/>
      <c r="G483" s="2"/>
      <c r="H483" s="2"/>
      <c r="I483" s="2"/>
    </row>
    <row r="484">
      <c r="A484" s="5"/>
      <c r="B484" s="2"/>
      <c r="C484" s="2" t="s">
        <v>646</v>
      </c>
      <c r="D484" s="2"/>
      <c r="E484" s="2"/>
      <c r="F484" s="2"/>
      <c r="G484" s="2"/>
      <c r="H484" s="2"/>
      <c r="I484" s="2"/>
    </row>
    <row r="485">
      <c r="A485" s="5"/>
      <c r="B485" s="2"/>
      <c r="C485" s="2" t="s">
        <v>646</v>
      </c>
      <c r="D485" s="2"/>
      <c r="E485" s="2"/>
      <c r="F485" s="2"/>
      <c r="G485" s="2"/>
      <c r="H485" s="2"/>
      <c r="I485" s="2"/>
    </row>
    <row r="486">
      <c r="A486" s="5"/>
      <c r="B486" s="2"/>
      <c r="C486" s="2" t="s">
        <v>646</v>
      </c>
      <c r="D486" s="2"/>
      <c r="E486" s="2"/>
      <c r="F486" s="2"/>
      <c r="G486" s="2"/>
      <c r="H486" s="2"/>
      <c r="I486" s="2"/>
    </row>
    <row r="487">
      <c r="A487" s="5"/>
      <c r="B487" s="2"/>
      <c r="C487" s="2" t="s">
        <v>646</v>
      </c>
      <c r="D487" s="2"/>
      <c r="E487" s="2"/>
      <c r="F487" s="2"/>
      <c r="G487" s="2"/>
      <c r="H487" s="2"/>
      <c r="I487" s="2"/>
    </row>
    <row r="488">
      <c r="A488" s="5"/>
      <c r="B488" s="2"/>
      <c r="C488" s="2" t="s">
        <v>646</v>
      </c>
      <c r="D488" s="2"/>
      <c r="E488" s="2"/>
      <c r="F488" s="2"/>
      <c r="G488" s="2"/>
      <c r="H488" s="2"/>
      <c r="I488" s="2"/>
    </row>
    <row r="489">
      <c r="A489" s="5"/>
      <c r="B489" s="2"/>
      <c r="C489" s="2" t="s">
        <v>646</v>
      </c>
      <c r="D489" s="2"/>
      <c r="E489" s="2"/>
      <c r="F489" s="2"/>
      <c r="G489" s="2"/>
      <c r="H489" s="2"/>
      <c r="I489" s="2"/>
    </row>
    <row r="490">
      <c r="A490" s="5"/>
      <c r="B490" s="2"/>
      <c r="C490" s="2" t="s">
        <v>646</v>
      </c>
      <c r="D490" s="2"/>
      <c r="E490" s="2"/>
      <c r="F490" s="2"/>
      <c r="G490" s="2"/>
      <c r="H490" s="2"/>
      <c r="I490" s="2"/>
    </row>
    <row r="491">
      <c r="A491" s="5"/>
      <c r="B491" s="2"/>
      <c r="C491" s="2" t="s">
        <v>646</v>
      </c>
      <c r="D491" s="2"/>
      <c r="E491" s="2"/>
      <c r="F491" s="2"/>
      <c r="G491" s="2"/>
      <c r="H491" s="2"/>
      <c r="I491" s="2"/>
    </row>
    <row r="492">
      <c r="A492" s="5"/>
      <c r="B492" s="2"/>
      <c r="C492" s="2" t="s">
        <v>646</v>
      </c>
      <c r="D492" s="2"/>
      <c r="E492" s="2"/>
      <c r="F492" s="2"/>
      <c r="G492" s="2"/>
      <c r="H492" s="2"/>
      <c r="I492" s="2"/>
    </row>
    <row r="493">
      <c r="A493" s="5"/>
      <c r="B493" s="2"/>
      <c r="C493" s="2" t="s">
        <v>646</v>
      </c>
      <c r="D493" s="2"/>
      <c r="E493" s="2"/>
      <c r="F493" s="2"/>
      <c r="G493" s="2"/>
      <c r="H493" s="2"/>
      <c r="I493" s="2"/>
    </row>
    <row r="494">
      <c r="A494" s="5"/>
      <c r="B494" s="2"/>
      <c r="C494" s="2" t="s">
        <v>646</v>
      </c>
      <c r="D494" s="2"/>
      <c r="E494" s="2"/>
      <c r="F494" s="2"/>
      <c r="G494" s="2"/>
      <c r="H494" s="2"/>
      <c r="I494" s="2"/>
    </row>
    <row r="495">
      <c r="A495" s="5"/>
      <c r="B495" s="2"/>
      <c r="C495" s="2" t="s">
        <v>646</v>
      </c>
      <c r="D495" s="2"/>
      <c r="E495" s="2"/>
      <c r="F495" s="2"/>
      <c r="G495" s="2"/>
      <c r="H495" s="2"/>
      <c r="I495" s="2"/>
    </row>
    <row r="496">
      <c r="A496" s="5"/>
      <c r="B496" s="2"/>
      <c r="C496" s="2" t="s">
        <v>646</v>
      </c>
      <c r="D496" s="2"/>
      <c r="E496" s="2"/>
      <c r="F496" s="2"/>
      <c r="G496" s="2"/>
      <c r="H496" s="2"/>
      <c r="I496" s="2"/>
    </row>
    <row r="497">
      <c r="A497" s="5"/>
      <c r="B497" s="2"/>
      <c r="C497" s="2" t="s">
        <v>646</v>
      </c>
      <c r="D497" s="2"/>
      <c r="E497" s="2"/>
      <c r="F497" s="2"/>
      <c r="G497" s="2"/>
      <c r="H497" s="2"/>
      <c r="I497" s="2"/>
    </row>
    <row r="498">
      <c r="A498" s="5"/>
      <c r="B498" s="2"/>
      <c r="C498" s="2" t="s">
        <v>646</v>
      </c>
      <c r="D498" s="2"/>
      <c r="E498" s="2"/>
      <c r="F498" s="2"/>
      <c r="G498" s="2"/>
      <c r="H498" s="2"/>
      <c r="I498" s="2"/>
    </row>
    <row r="499">
      <c r="A499" s="5"/>
      <c r="B499" s="2"/>
      <c r="C499" s="2" t="s">
        <v>646</v>
      </c>
      <c r="D499" s="2"/>
      <c r="E499" s="2"/>
      <c r="F499" s="2"/>
      <c r="G499" s="2"/>
      <c r="H499" s="2"/>
      <c r="I499" s="2"/>
    </row>
    <row r="500">
      <c r="A500" s="5"/>
      <c r="B500" s="2"/>
      <c r="C500" s="2" t="s">
        <v>646</v>
      </c>
      <c r="D500" s="2"/>
      <c r="E500" s="2"/>
      <c r="F500" s="2"/>
      <c r="G500" s="2"/>
      <c r="H500" s="2"/>
      <c r="I500" s="2"/>
    </row>
    <row r="501">
      <c r="A501" s="5"/>
      <c r="B501" s="2"/>
      <c r="C501" s="2" t="s">
        <v>646</v>
      </c>
      <c r="D501" s="2"/>
      <c r="E501" s="2"/>
      <c r="F501" s="2"/>
      <c r="G501" s="2"/>
      <c r="H501" s="2"/>
      <c r="I501" s="2"/>
    </row>
    <row r="502">
      <c r="A502" s="5"/>
      <c r="B502" s="2"/>
      <c r="C502" s="2" t="s">
        <v>646</v>
      </c>
      <c r="D502" s="2"/>
      <c r="E502" s="2"/>
      <c r="F502" s="2"/>
      <c r="G502" s="2"/>
      <c r="H502" s="2"/>
      <c r="I502" s="2"/>
    </row>
    <row r="503">
      <c r="A503" s="5"/>
      <c r="B503" s="2"/>
      <c r="C503" s="2" t="s">
        <v>646</v>
      </c>
      <c r="D503" s="2"/>
      <c r="E503" s="2"/>
      <c r="F503" s="2"/>
      <c r="G503" s="2"/>
      <c r="H503" s="2"/>
      <c r="I503" s="2"/>
    </row>
    <row r="504">
      <c r="A504" s="5"/>
      <c r="B504" s="2"/>
      <c r="C504" s="2" t="s">
        <v>646</v>
      </c>
      <c r="D504" s="2"/>
      <c r="E504" s="2"/>
      <c r="F504" s="2"/>
      <c r="G504" s="2"/>
      <c r="H504" s="2"/>
      <c r="I504" s="2"/>
    </row>
    <row r="505">
      <c r="A505" s="5"/>
      <c r="B505" s="2"/>
      <c r="C505" s="2" t="s">
        <v>646</v>
      </c>
      <c r="D505" s="2"/>
      <c r="E505" s="2"/>
      <c r="F505" s="2"/>
      <c r="G505" s="2"/>
      <c r="H505" s="2"/>
      <c r="I505" s="2"/>
    </row>
    <row r="506">
      <c r="A506" s="5"/>
      <c r="B506" s="2"/>
      <c r="C506" s="2" t="s">
        <v>646</v>
      </c>
      <c r="D506" s="2"/>
      <c r="E506" s="2"/>
      <c r="F506" s="2"/>
      <c r="G506" s="2"/>
      <c r="H506" s="2"/>
      <c r="I506" s="2"/>
    </row>
    <row r="507">
      <c r="A507" s="5"/>
      <c r="B507" s="2"/>
      <c r="C507" s="2" t="s">
        <v>646</v>
      </c>
      <c r="D507" s="2"/>
      <c r="E507" s="2"/>
      <c r="F507" s="2"/>
      <c r="G507" s="2"/>
      <c r="H507" s="2"/>
      <c r="I507" s="2"/>
    </row>
    <row r="508">
      <c r="A508" s="5"/>
      <c r="B508" s="2"/>
      <c r="C508" s="2" t="s">
        <v>646</v>
      </c>
      <c r="D508" s="2"/>
      <c r="E508" s="2"/>
      <c r="F508" s="2"/>
      <c r="G508" s="2"/>
      <c r="H508" s="2"/>
      <c r="I508" s="2"/>
    </row>
    <row r="509">
      <c r="A509" s="5"/>
      <c r="B509" s="2"/>
      <c r="C509" s="2" t="s">
        <v>646</v>
      </c>
      <c r="D509" s="2"/>
      <c r="E509" s="2"/>
      <c r="F509" s="2"/>
      <c r="G509" s="2"/>
      <c r="H509" s="2"/>
      <c r="I509" s="2"/>
    </row>
    <row r="510">
      <c r="A510" s="5"/>
      <c r="B510" s="2"/>
      <c r="C510" s="2" t="s">
        <v>646</v>
      </c>
      <c r="D510" s="2"/>
      <c r="E510" s="2"/>
      <c r="F510" s="2"/>
      <c r="G510" s="2"/>
      <c r="H510" s="2"/>
      <c r="I510" s="2"/>
    </row>
    <row r="511">
      <c r="A511" s="5"/>
      <c r="B511" s="2"/>
      <c r="C511" s="2" t="s">
        <v>646</v>
      </c>
      <c r="D511" s="2"/>
      <c r="E511" s="2"/>
      <c r="F511" s="2"/>
      <c r="G511" s="2"/>
      <c r="H511" s="2"/>
      <c r="I511" s="2"/>
    </row>
    <row r="512">
      <c r="A512" s="5"/>
      <c r="B512" s="2"/>
      <c r="C512" s="2" t="s">
        <v>646</v>
      </c>
      <c r="D512" s="2"/>
      <c r="E512" s="2"/>
      <c r="F512" s="2"/>
      <c r="G512" s="2"/>
      <c r="H512" s="2"/>
      <c r="I512" s="2"/>
    </row>
    <row r="513">
      <c r="A513" s="5"/>
      <c r="B513" s="2"/>
      <c r="C513" s="2" t="s">
        <v>646</v>
      </c>
      <c r="D513" s="2"/>
      <c r="E513" s="2"/>
      <c r="F513" s="2"/>
      <c r="G513" s="2"/>
      <c r="H513" s="2"/>
      <c r="I513" s="2"/>
    </row>
    <row r="514">
      <c r="A514" s="5"/>
      <c r="B514" s="2"/>
      <c r="C514" s="2" t="s">
        <v>646</v>
      </c>
      <c r="D514" s="2"/>
      <c r="E514" s="2"/>
      <c r="F514" s="2"/>
      <c r="G514" s="2"/>
      <c r="H514" s="2"/>
      <c r="I514" s="2"/>
    </row>
    <row r="515">
      <c r="A515" s="5"/>
      <c r="B515" s="2"/>
      <c r="C515" s="2" t="s">
        <v>646</v>
      </c>
      <c r="D515" s="2"/>
      <c r="E515" s="2"/>
      <c r="F515" s="2"/>
      <c r="G515" s="2"/>
      <c r="H515" s="2"/>
      <c r="I515" s="2"/>
    </row>
    <row r="516">
      <c r="A516" s="5"/>
      <c r="B516" s="2"/>
      <c r="C516" s="2" t="s">
        <v>646</v>
      </c>
      <c r="D516" s="2"/>
      <c r="E516" s="2"/>
      <c r="F516" s="2"/>
      <c r="G516" s="2"/>
      <c r="H516" s="2"/>
      <c r="I516" s="2"/>
    </row>
    <row r="517">
      <c r="A517" s="5"/>
      <c r="B517" s="2"/>
      <c r="C517" s="2" t="s">
        <v>646</v>
      </c>
      <c r="D517" s="2"/>
      <c r="E517" s="2"/>
      <c r="F517" s="2"/>
      <c r="G517" s="2"/>
      <c r="H517" s="2"/>
      <c r="I517" s="2"/>
    </row>
    <row r="518">
      <c r="A518" s="5"/>
      <c r="B518" s="2"/>
      <c r="C518" s="2" t="s">
        <v>646</v>
      </c>
      <c r="D518" s="2"/>
      <c r="E518" s="2"/>
      <c r="F518" s="2"/>
      <c r="G518" s="2"/>
      <c r="H518" s="2"/>
      <c r="I518" s="2"/>
    </row>
    <row r="519">
      <c r="A519" s="5"/>
      <c r="B519" s="2"/>
      <c r="C519" s="2" t="s">
        <v>646</v>
      </c>
      <c r="D519" s="2"/>
      <c r="E519" s="2"/>
      <c r="F519" s="2"/>
      <c r="G519" s="2"/>
      <c r="H519" s="2"/>
      <c r="I519" s="2"/>
    </row>
    <row r="520">
      <c r="A520" s="5"/>
      <c r="B520" s="2"/>
      <c r="C520" s="2" t="s">
        <v>646</v>
      </c>
      <c r="D520" s="2"/>
      <c r="E520" s="2"/>
      <c r="F520" s="2"/>
      <c r="G520" s="2"/>
      <c r="H520" s="2"/>
      <c r="I520" s="2"/>
    </row>
    <row r="521">
      <c r="A521" s="5"/>
      <c r="B521" s="2"/>
      <c r="C521" s="2" t="s">
        <v>646</v>
      </c>
      <c r="D521" s="2"/>
      <c r="E521" s="2"/>
      <c r="F521" s="2"/>
      <c r="G521" s="2"/>
      <c r="H521" s="2"/>
      <c r="I521" s="2"/>
    </row>
    <row r="522">
      <c r="A522" s="5"/>
      <c r="B522" s="2"/>
      <c r="C522" s="2" t="s">
        <v>646</v>
      </c>
      <c r="D522" s="2"/>
      <c r="E522" s="2"/>
      <c r="F522" s="2"/>
      <c r="G522" s="2"/>
      <c r="H522" s="2"/>
      <c r="I522" s="2"/>
    </row>
    <row r="523">
      <c r="A523" s="5"/>
      <c r="B523" s="2"/>
      <c r="C523" s="2" t="s">
        <v>646</v>
      </c>
      <c r="D523" s="2"/>
      <c r="E523" s="2"/>
      <c r="F523" s="2"/>
      <c r="G523" s="2"/>
      <c r="H523" s="2"/>
      <c r="I523" s="2"/>
    </row>
    <row r="524">
      <c r="A524" s="5"/>
      <c r="B524" s="2"/>
      <c r="C524" s="2" t="s">
        <v>646</v>
      </c>
      <c r="D524" s="2"/>
      <c r="E524" s="2"/>
      <c r="F524" s="2"/>
      <c r="G524" s="2"/>
      <c r="H524" s="2"/>
      <c r="I524" s="2"/>
    </row>
    <row r="525">
      <c r="A525" s="5"/>
      <c r="B525" s="2"/>
      <c r="C525" s="2" t="s">
        <v>646</v>
      </c>
      <c r="D525" s="2"/>
      <c r="E525" s="2"/>
      <c r="F525" s="2"/>
      <c r="G525" s="2"/>
      <c r="H525" s="2"/>
      <c r="I525" s="2"/>
    </row>
    <row r="526">
      <c r="A526" s="5"/>
      <c r="B526" s="2"/>
      <c r="C526" s="2" t="s">
        <v>646</v>
      </c>
      <c r="D526" s="2"/>
      <c r="E526" s="2"/>
      <c r="F526" s="2"/>
      <c r="G526" s="2"/>
      <c r="H526" s="2"/>
      <c r="I526" s="2"/>
    </row>
    <row r="527">
      <c r="A527" s="5"/>
      <c r="B527" s="2"/>
      <c r="C527" s="2" t="s">
        <v>646</v>
      </c>
      <c r="D527" s="2"/>
      <c r="E527" s="2"/>
      <c r="F527" s="2"/>
      <c r="G527" s="2"/>
      <c r="H527" s="2"/>
      <c r="I527" s="2"/>
    </row>
    <row r="528">
      <c r="A528" s="5"/>
      <c r="B528" s="2"/>
      <c r="C528" s="2" t="s">
        <v>646</v>
      </c>
      <c r="D528" s="2"/>
      <c r="E528" s="2"/>
      <c r="F528" s="2"/>
      <c r="G528" s="2"/>
      <c r="H528" s="2"/>
      <c r="I528" s="2"/>
    </row>
    <row r="529">
      <c r="A529" s="5"/>
      <c r="B529" s="2"/>
      <c r="C529" s="2" t="s">
        <v>646</v>
      </c>
      <c r="D529" s="2"/>
      <c r="E529" s="2"/>
      <c r="F529" s="2"/>
      <c r="G529" s="2"/>
      <c r="H529" s="2"/>
      <c r="I529" s="2"/>
    </row>
    <row r="530">
      <c r="A530" s="5"/>
      <c r="B530" s="2"/>
      <c r="C530" s="2" t="s">
        <v>646</v>
      </c>
      <c r="D530" s="2"/>
      <c r="E530" s="2"/>
      <c r="F530" s="2"/>
      <c r="G530" s="2"/>
      <c r="H530" s="2"/>
      <c r="I530" s="2"/>
    </row>
    <row r="531">
      <c r="A531" s="5"/>
      <c r="B531" s="2"/>
      <c r="C531" s="2" t="s">
        <v>646</v>
      </c>
      <c r="D531" s="2"/>
      <c r="E531" s="2"/>
      <c r="F531" s="2"/>
      <c r="G531" s="2"/>
      <c r="H531" s="2"/>
      <c r="I531" s="2"/>
    </row>
    <row r="532">
      <c r="A532" s="5"/>
      <c r="B532" s="2"/>
      <c r="C532" s="2" t="s">
        <v>646</v>
      </c>
      <c r="D532" s="2"/>
      <c r="E532" s="2"/>
      <c r="F532" s="2"/>
      <c r="G532" s="2"/>
      <c r="H532" s="2"/>
      <c r="I532" s="2"/>
    </row>
    <row r="533">
      <c r="A533" s="5"/>
      <c r="B533" s="2"/>
      <c r="C533" s="2" t="s">
        <v>646</v>
      </c>
      <c r="D533" s="2"/>
      <c r="E533" s="2"/>
      <c r="F533" s="2"/>
      <c r="G533" s="2"/>
      <c r="H533" s="2"/>
      <c r="I533" s="2"/>
    </row>
    <row r="534">
      <c r="A534" s="5"/>
      <c r="B534" s="2"/>
      <c r="C534" s="2" t="s">
        <v>646</v>
      </c>
      <c r="D534" s="2"/>
      <c r="E534" s="2"/>
      <c r="F534" s="2"/>
      <c r="G534" s="2"/>
      <c r="H534" s="2"/>
      <c r="I534" s="2"/>
    </row>
    <row r="535">
      <c r="A535" s="5"/>
      <c r="B535" s="2"/>
      <c r="C535" s="2" t="s">
        <v>646</v>
      </c>
      <c r="D535" s="2"/>
      <c r="E535" s="2"/>
      <c r="F535" s="2"/>
      <c r="G535" s="2"/>
      <c r="H535" s="2"/>
      <c r="I535" s="2"/>
    </row>
    <row r="536">
      <c r="A536" s="5"/>
      <c r="B536" s="2"/>
      <c r="C536" s="2" t="s">
        <v>646</v>
      </c>
      <c r="D536" s="2"/>
      <c r="E536" s="2"/>
      <c r="F536" s="2"/>
      <c r="G536" s="2"/>
      <c r="H536" s="2"/>
      <c r="I536" s="2"/>
    </row>
    <row r="537">
      <c r="A537" s="5"/>
      <c r="B537" s="2"/>
      <c r="C537" s="2" t="s">
        <v>646</v>
      </c>
      <c r="D537" s="2"/>
      <c r="E537" s="2"/>
      <c r="F537" s="2"/>
      <c r="G537" s="2"/>
      <c r="H537" s="2"/>
      <c r="I537" s="2"/>
    </row>
    <row r="538">
      <c r="A538" s="5"/>
      <c r="B538" s="2"/>
      <c r="C538" s="2" t="s">
        <v>646</v>
      </c>
      <c r="D538" s="2"/>
      <c r="E538" s="2"/>
      <c r="F538" s="2"/>
      <c r="G538" s="2"/>
      <c r="H538" s="2"/>
      <c r="I538" s="2"/>
    </row>
    <row r="539">
      <c r="A539" s="5"/>
      <c r="B539" s="2"/>
      <c r="C539" s="2" t="s">
        <v>646</v>
      </c>
      <c r="D539" s="2"/>
      <c r="E539" s="2"/>
      <c r="F539" s="2"/>
      <c r="G539" s="2"/>
      <c r="H539" s="2"/>
      <c r="I539" s="2"/>
    </row>
    <row r="540">
      <c r="A540" s="5"/>
      <c r="B540" s="2"/>
      <c r="C540" s="2" t="s">
        <v>646</v>
      </c>
      <c r="D540" s="2"/>
      <c r="E540" s="2"/>
      <c r="F540" s="2"/>
      <c r="G540" s="2"/>
      <c r="H540" s="2"/>
      <c r="I540" s="2"/>
    </row>
    <row r="541">
      <c r="A541" s="5"/>
      <c r="B541" s="2"/>
      <c r="C541" s="2" t="s">
        <v>646</v>
      </c>
      <c r="D541" s="2"/>
      <c r="E541" s="2"/>
      <c r="F541" s="2"/>
      <c r="G541" s="2"/>
      <c r="H541" s="2"/>
      <c r="I541" s="2"/>
    </row>
    <row r="542">
      <c r="A542" s="5"/>
      <c r="B542" s="2"/>
      <c r="C542" s="2" t="s">
        <v>646</v>
      </c>
      <c r="D542" s="2"/>
      <c r="E542" s="2"/>
      <c r="F542" s="2"/>
      <c r="G542" s="2"/>
      <c r="H542" s="2"/>
      <c r="I542" s="2"/>
    </row>
    <row r="543">
      <c r="A543" s="5"/>
      <c r="B543" s="2"/>
      <c r="C543" s="2" t="s">
        <v>646</v>
      </c>
      <c r="D543" s="2"/>
      <c r="E543" s="2"/>
      <c r="F543" s="2"/>
      <c r="G543" s="2"/>
      <c r="H543" s="2"/>
      <c r="I543" s="2"/>
    </row>
    <row r="544">
      <c r="A544" s="5"/>
      <c r="B544" s="2"/>
      <c r="C544" s="2" t="s">
        <v>646</v>
      </c>
      <c r="D544" s="2"/>
      <c r="E544" s="2"/>
      <c r="F544" s="2"/>
      <c r="G544" s="2"/>
      <c r="H544" s="2"/>
      <c r="I544" s="2"/>
    </row>
    <row r="545">
      <c r="A545" s="5"/>
      <c r="B545" s="2"/>
      <c r="C545" s="2" t="s">
        <v>646</v>
      </c>
      <c r="D545" s="2"/>
      <c r="E545" s="2"/>
      <c r="F545" s="2"/>
      <c r="G545" s="2"/>
      <c r="H545" s="2"/>
      <c r="I545" s="2"/>
    </row>
    <row r="546">
      <c r="A546" s="5"/>
      <c r="B546" s="2"/>
      <c r="C546" s="2" t="s">
        <v>646</v>
      </c>
      <c r="D546" s="2"/>
      <c r="E546" s="2"/>
      <c r="F546" s="2"/>
      <c r="G546" s="2"/>
      <c r="H546" s="2"/>
      <c r="I546" s="2"/>
    </row>
    <row r="547">
      <c r="A547" s="5"/>
      <c r="B547" s="2"/>
      <c r="C547" s="2" t="s">
        <v>646</v>
      </c>
      <c r="D547" s="2"/>
      <c r="E547" s="2"/>
      <c r="F547" s="2"/>
      <c r="G547" s="2"/>
      <c r="H547" s="2"/>
      <c r="I547" s="2"/>
    </row>
    <row r="548">
      <c r="A548" s="5"/>
      <c r="B548" s="2"/>
      <c r="C548" s="2" t="s">
        <v>646</v>
      </c>
      <c r="D548" s="2"/>
      <c r="E548" s="2"/>
      <c r="F548" s="2"/>
      <c r="G548" s="2"/>
      <c r="H548" s="2"/>
      <c r="I548" s="2"/>
    </row>
    <row r="549">
      <c r="A549" s="5"/>
      <c r="B549" s="2"/>
      <c r="C549" s="2" t="s">
        <v>646</v>
      </c>
      <c r="D549" s="2"/>
      <c r="E549" s="2"/>
      <c r="F549" s="2"/>
      <c r="G549" s="2"/>
      <c r="H549" s="2"/>
      <c r="I549" s="2"/>
    </row>
    <row r="550">
      <c r="A550" s="5"/>
      <c r="B550" s="2"/>
      <c r="C550" s="2" t="s">
        <v>646</v>
      </c>
      <c r="D550" s="2"/>
      <c r="E550" s="2"/>
      <c r="F550" s="2"/>
      <c r="G550" s="2"/>
      <c r="H550" s="2"/>
      <c r="I550" s="2"/>
    </row>
    <row r="551">
      <c r="A551" s="5"/>
      <c r="B551" s="2"/>
      <c r="C551" s="2" t="s">
        <v>646</v>
      </c>
      <c r="D551" s="2"/>
      <c r="E551" s="2"/>
      <c r="F551" s="2"/>
      <c r="G551" s="2"/>
      <c r="H551" s="2"/>
      <c r="I551" s="2"/>
    </row>
    <row r="552">
      <c r="A552" s="5"/>
      <c r="B552" s="2"/>
      <c r="C552" s="2" t="s">
        <v>646</v>
      </c>
      <c r="D552" s="2"/>
      <c r="E552" s="2"/>
      <c r="F552" s="2"/>
      <c r="G552" s="2"/>
      <c r="H552" s="2"/>
      <c r="I552" s="2"/>
    </row>
    <row r="553">
      <c r="A553" s="5"/>
      <c r="B553" s="2"/>
      <c r="C553" s="2" t="s">
        <v>646</v>
      </c>
      <c r="D553" s="2"/>
      <c r="E553" s="2"/>
      <c r="F553" s="2"/>
      <c r="G553" s="2"/>
      <c r="H553" s="2"/>
      <c r="I553" s="2"/>
    </row>
    <row r="554">
      <c r="A554" s="5"/>
      <c r="B554" s="2"/>
      <c r="C554" s="2" t="s">
        <v>646</v>
      </c>
      <c r="D554" s="2"/>
      <c r="E554" s="2"/>
      <c r="F554" s="2"/>
      <c r="G554" s="2"/>
      <c r="H554" s="2"/>
      <c r="I554" s="2"/>
    </row>
    <row r="555">
      <c r="A555" s="5"/>
      <c r="B555" s="2"/>
      <c r="C555" s="2" t="s">
        <v>646</v>
      </c>
      <c r="D555" s="2"/>
      <c r="E555" s="2"/>
      <c r="F555" s="2"/>
      <c r="G555" s="2"/>
      <c r="H555" s="2"/>
      <c r="I555" s="2"/>
    </row>
    <row r="556">
      <c r="A556" s="5"/>
      <c r="B556" s="2"/>
      <c r="C556" s="2" t="s">
        <v>646</v>
      </c>
      <c r="D556" s="2"/>
      <c r="E556" s="2"/>
      <c r="F556" s="2"/>
      <c r="G556" s="2"/>
      <c r="H556" s="2"/>
      <c r="I556" s="2"/>
    </row>
    <row r="557">
      <c r="A557" s="5"/>
      <c r="B557" s="2"/>
      <c r="C557" s="2" t="s">
        <v>646</v>
      </c>
      <c r="D557" s="2"/>
      <c r="E557" s="2"/>
      <c r="F557" s="2"/>
      <c r="G557" s="2"/>
      <c r="H557" s="2"/>
      <c r="I557" s="2"/>
    </row>
    <row r="558">
      <c r="A558" s="5"/>
      <c r="B558" s="2"/>
      <c r="C558" s="2" t="s">
        <v>646</v>
      </c>
      <c r="D558" s="2"/>
      <c r="E558" s="2"/>
      <c r="F558" s="2"/>
      <c r="G558" s="2"/>
      <c r="H558" s="2"/>
      <c r="I558" s="2"/>
    </row>
    <row r="559">
      <c r="A559" s="5"/>
      <c r="B559" s="2"/>
      <c r="C559" s="2" t="s">
        <v>646</v>
      </c>
      <c r="D559" s="2"/>
      <c r="E559" s="2"/>
      <c r="F559" s="2"/>
      <c r="G559" s="2"/>
      <c r="H559" s="2"/>
      <c r="I559" s="2"/>
    </row>
    <row r="560">
      <c r="A560" s="5"/>
      <c r="B560" s="2"/>
      <c r="C560" s="2" t="s">
        <v>646</v>
      </c>
      <c r="D560" s="2"/>
      <c r="E560" s="2"/>
      <c r="F560" s="2"/>
      <c r="G560" s="2"/>
      <c r="H560" s="2"/>
      <c r="I560" s="2"/>
    </row>
    <row r="561">
      <c r="A561" s="5"/>
      <c r="B561" s="2"/>
      <c r="C561" s="2" t="s">
        <v>646</v>
      </c>
      <c r="D561" s="2"/>
      <c r="E561" s="2"/>
      <c r="F561" s="2"/>
      <c r="G561" s="2"/>
      <c r="H561" s="2"/>
      <c r="I561" s="2"/>
    </row>
    <row r="562">
      <c r="A562" s="5"/>
      <c r="B562" s="2"/>
      <c r="C562" s="2" t="s">
        <v>646</v>
      </c>
      <c r="D562" s="2"/>
      <c r="E562" s="2"/>
      <c r="F562" s="2"/>
      <c r="G562" s="2"/>
      <c r="H562" s="2"/>
      <c r="I562" s="2"/>
    </row>
    <row r="563">
      <c r="A563" s="5"/>
      <c r="B563" s="2"/>
      <c r="C563" s="2" t="s">
        <v>646</v>
      </c>
      <c r="D563" s="2"/>
      <c r="E563" s="2"/>
      <c r="F563" s="2"/>
      <c r="G563" s="2"/>
      <c r="H563" s="2"/>
      <c r="I563" s="2"/>
    </row>
    <row r="564">
      <c r="A564" s="5"/>
      <c r="B564" s="2"/>
      <c r="C564" s="2" t="s">
        <v>646</v>
      </c>
      <c r="D564" s="2"/>
      <c r="E564" s="2"/>
      <c r="F564" s="2"/>
      <c r="G564" s="2"/>
      <c r="H564" s="2"/>
      <c r="I564" s="2"/>
    </row>
    <row r="565">
      <c r="A565" s="5"/>
      <c r="B565" s="2"/>
      <c r="C565" s="2" t="s">
        <v>646</v>
      </c>
      <c r="D565" s="2"/>
      <c r="E565" s="2"/>
      <c r="F565" s="2"/>
      <c r="G565" s="2"/>
      <c r="H565" s="2"/>
      <c r="I565" s="2"/>
    </row>
    <row r="566">
      <c r="A566" s="5"/>
      <c r="B566" s="2"/>
      <c r="C566" s="2" t="s">
        <v>646</v>
      </c>
      <c r="D566" s="2"/>
      <c r="E566" s="2"/>
      <c r="F566" s="2"/>
      <c r="G566" s="2"/>
      <c r="H566" s="2"/>
      <c r="I566" s="2"/>
    </row>
    <row r="567">
      <c r="A567" s="5"/>
      <c r="B567" s="2"/>
      <c r="C567" s="2" t="s">
        <v>646</v>
      </c>
      <c r="D567" s="2"/>
      <c r="E567" s="2"/>
      <c r="F567" s="2"/>
      <c r="G567" s="2"/>
      <c r="H567" s="2"/>
      <c r="I567" s="2"/>
    </row>
    <row r="568">
      <c r="A568" s="5"/>
      <c r="B568" s="2"/>
      <c r="C568" s="2" t="s">
        <v>646</v>
      </c>
      <c r="D568" s="2"/>
      <c r="E568" s="2"/>
      <c r="F568" s="2"/>
      <c r="G568" s="2"/>
      <c r="H568" s="2"/>
      <c r="I568" s="2"/>
    </row>
    <row r="569">
      <c r="A569" s="5"/>
      <c r="B569" s="2"/>
      <c r="C569" s="2" t="s">
        <v>646</v>
      </c>
      <c r="D569" s="2"/>
      <c r="E569" s="2"/>
      <c r="F569" s="2"/>
      <c r="G569" s="2"/>
      <c r="H569" s="2"/>
      <c r="I569" s="2"/>
    </row>
    <row r="570">
      <c r="A570" s="5"/>
      <c r="B570" s="2"/>
      <c r="C570" s="2" t="s">
        <v>646</v>
      </c>
      <c r="D570" s="2"/>
      <c r="E570" s="2"/>
      <c r="F570" s="2"/>
      <c r="G570" s="2"/>
      <c r="H570" s="2"/>
      <c r="I570" s="2"/>
    </row>
    <row r="571">
      <c r="A571" s="5"/>
      <c r="B571" s="2"/>
      <c r="C571" s="2" t="s">
        <v>646</v>
      </c>
      <c r="D571" s="2"/>
      <c r="E571" s="2"/>
      <c r="F571" s="2"/>
      <c r="G571" s="2"/>
      <c r="H571" s="2"/>
      <c r="I571" s="2"/>
    </row>
    <row r="572">
      <c r="A572" s="5"/>
      <c r="B572" s="2"/>
      <c r="C572" s="2" t="s">
        <v>646</v>
      </c>
      <c r="D572" s="2"/>
      <c r="E572" s="2"/>
      <c r="F572" s="2"/>
      <c r="G572" s="2"/>
      <c r="H572" s="2"/>
      <c r="I572" s="2"/>
    </row>
    <row r="573">
      <c r="A573" s="5"/>
      <c r="B573" s="2"/>
      <c r="C573" s="2" t="s">
        <v>646</v>
      </c>
      <c r="D573" s="2"/>
      <c r="E573" s="2"/>
      <c r="F573" s="2"/>
      <c r="G573" s="2"/>
      <c r="H573" s="2"/>
      <c r="I573" s="2"/>
    </row>
    <row r="574">
      <c r="A574" s="5"/>
      <c r="B574" s="2"/>
      <c r="C574" s="2" t="s">
        <v>646</v>
      </c>
      <c r="D574" s="2"/>
      <c r="E574" s="2"/>
      <c r="F574" s="2"/>
      <c r="G574" s="2"/>
      <c r="H574" s="2"/>
      <c r="I574" s="2"/>
    </row>
    <row r="575">
      <c r="A575" s="5"/>
      <c r="B575" s="2"/>
      <c r="C575" s="2" t="s">
        <v>646</v>
      </c>
      <c r="D575" s="2"/>
      <c r="E575" s="2"/>
      <c r="F575" s="2"/>
      <c r="G575" s="2"/>
      <c r="H575" s="2"/>
      <c r="I575" s="2"/>
    </row>
    <row r="576">
      <c r="A576" s="5"/>
      <c r="B576" s="2"/>
      <c r="C576" s="2" t="s">
        <v>646</v>
      </c>
      <c r="D576" s="2"/>
      <c r="E576" s="2"/>
      <c r="F576" s="2"/>
      <c r="G576" s="2"/>
      <c r="H576" s="2"/>
      <c r="I576" s="2"/>
    </row>
    <row r="577">
      <c r="A577" s="5"/>
      <c r="B577" s="2"/>
      <c r="C577" s="2" t="s">
        <v>646</v>
      </c>
      <c r="D577" s="2"/>
      <c r="E577" s="2"/>
      <c r="F577" s="2"/>
      <c r="G577" s="2"/>
      <c r="H577" s="2"/>
      <c r="I577" s="2"/>
    </row>
    <row r="578">
      <c r="A578" s="5"/>
      <c r="B578" s="2"/>
      <c r="C578" s="2" t="s">
        <v>646</v>
      </c>
      <c r="D578" s="2"/>
      <c r="E578" s="2"/>
      <c r="F578" s="2"/>
      <c r="G578" s="2"/>
      <c r="H578" s="2"/>
      <c r="I578" s="2"/>
    </row>
    <row r="579">
      <c r="A579" s="5"/>
      <c r="B579" s="2"/>
      <c r="C579" s="2" t="s">
        <v>646</v>
      </c>
      <c r="D579" s="2"/>
      <c r="E579" s="2"/>
      <c r="F579" s="2"/>
      <c r="G579" s="2"/>
      <c r="H579" s="2"/>
      <c r="I579" s="2"/>
    </row>
    <row r="580">
      <c r="A580" s="5"/>
      <c r="B580" s="2"/>
      <c r="C580" s="2" t="s">
        <v>646</v>
      </c>
      <c r="D580" s="2"/>
      <c r="E580" s="2"/>
      <c r="F580" s="2"/>
      <c r="G580" s="2"/>
      <c r="H580" s="2"/>
      <c r="I580" s="2"/>
    </row>
    <row r="581">
      <c r="A581" s="5"/>
      <c r="B581" s="2"/>
      <c r="C581" s="2" t="s">
        <v>646</v>
      </c>
      <c r="D581" s="2"/>
      <c r="E581" s="2"/>
      <c r="F581" s="2"/>
      <c r="G581" s="2"/>
      <c r="H581" s="2"/>
      <c r="I581" s="2"/>
    </row>
    <row r="582">
      <c r="A582" s="5"/>
      <c r="B582" s="2"/>
      <c r="C582" s="2" t="s">
        <v>646</v>
      </c>
      <c r="D582" s="2"/>
      <c r="E582" s="2"/>
      <c r="F582" s="2"/>
      <c r="G582" s="2"/>
      <c r="H582" s="2"/>
      <c r="I582" s="2"/>
    </row>
    <row r="583">
      <c r="A583" s="5"/>
      <c r="B583" s="2"/>
      <c r="C583" s="2" t="s">
        <v>646</v>
      </c>
      <c r="D583" s="2"/>
      <c r="E583" s="2"/>
      <c r="F583" s="2"/>
      <c r="G583" s="2"/>
      <c r="H583" s="2"/>
      <c r="I583" s="2"/>
    </row>
    <row r="584">
      <c r="A584" s="5"/>
      <c r="B584" s="2"/>
      <c r="C584" s="2" t="s">
        <v>646</v>
      </c>
      <c r="D584" s="2"/>
      <c r="E584" s="2"/>
      <c r="F584" s="2"/>
      <c r="G584" s="2"/>
      <c r="H584" s="2"/>
      <c r="I584" s="2"/>
    </row>
    <row r="585">
      <c r="A585" s="5"/>
      <c r="B585" s="2"/>
      <c r="C585" s="2" t="s">
        <v>646</v>
      </c>
      <c r="D585" s="2"/>
      <c r="E585" s="2"/>
      <c r="F585" s="2"/>
      <c r="G585" s="2"/>
      <c r="H585" s="2"/>
      <c r="I585" s="2"/>
    </row>
    <row r="586">
      <c r="A586" s="5"/>
      <c r="B586" s="2"/>
      <c r="C586" s="2" t="s">
        <v>646</v>
      </c>
      <c r="D586" s="2"/>
      <c r="E586" s="2"/>
      <c r="F586" s="2"/>
      <c r="G586" s="2"/>
      <c r="H586" s="2"/>
      <c r="I586" s="2"/>
    </row>
    <row r="587">
      <c r="A587" s="5"/>
      <c r="B587" s="2"/>
      <c r="C587" s="2" t="s">
        <v>646</v>
      </c>
      <c r="D587" s="2"/>
      <c r="E587" s="2"/>
      <c r="F587" s="2"/>
      <c r="G587" s="2"/>
      <c r="H587" s="2"/>
      <c r="I587" s="2"/>
    </row>
    <row r="588">
      <c r="A588" s="5"/>
      <c r="B588" s="2"/>
      <c r="C588" s="2" t="s">
        <v>646</v>
      </c>
      <c r="D588" s="2"/>
      <c r="E588" s="2"/>
      <c r="F588" s="2"/>
      <c r="G588" s="2"/>
      <c r="H588" s="2"/>
      <c r="I588" s="2"/>
    </row>
    <row r="589">
      <c r="A589" s="5"/>
      <c r="B589" s="2"/>
      <c r="C589" s="2" t="s">
        <v>646</v>
      </c>
      <c r="D589" s="2"/>
      <c r="E589" s="2"/>
      <c r="F589" s="2"/>
      <c r="G589" s="2"/>
      <c r="H589" s="2"/>
      <c r="I589" s="2"/>
    </row>
    <row r="590">
      <c r="A590" s="5"/>
      <c r="B590" s="2"/>
      <c r="C590" s="2" t="s">
        <v>646</v>
      </c>
      <c r="D590" s="2"/>
      <c r="E590" s="2"/>
      <c r="F590" s="2"/>
      <c r="G590" s="2"/>
      <c r="H590" s="2"/>
      <c r="I590" s="2"/>
    </row>
    <row r="591">
      <c r="A591" s="5"/>
      <c r="B591" s="2"/>
      <c r="C591" s="2" t="s">
        <v>646</v>
      </c>
      <c r="D591" s="2"/>
      <c r="E591" s="2"/>
      <c r="F591" s="2"/>
      <c r="G591" s="2"/>
      <c r="H591" s="2"/>
      <c r="I591" s="2"/>
    </row>
    <row r="592">
      <c r="A592" s="5"/>
      <c r="B592" s="2"/>
      <c r="C592" s="2" t="s">
        <v>646</v>
      </c>
      <c r="D592" s="2"/>
      <c r="E592" s="2"/>
      <c r="F592" s="2"/>
      <c r="G592" s="2"/>
      <c r="H592" s="2"/>
      <c r="I592" s="2"/>
    </row>
    <row r="593">
      <c r="A593" s="5"/>
      <c r="B593" s="2"/>
      <c r="C593" s="2" t="s">
        <v>646</v>
      </c>
      <c r="D593" s="2"/>
      <c r="E593" s="2"/>
      <c r="F593" s="2"/>
      <c r="G593" s="2"/>
      <c r="H593" s="2"/>
      <c r="I593" s="2"/>
    </row>
    <row r="594">
      <c r="A594" s="5"/>
      <c r="B594" s="2"/>
      <c r="C594" s="2" t="s">
        <v>646</v>
      </c>
      <c r="D594" s="2"/>
      <c r="E594" s="2"/>
      <c r="F594" s="2"/>
      <c r="G594" s="2"/>
      <c r="H594" s="2"/>
      <c r="I594" s="2"/>
    </row>
    <row r="595">
      <c r="A595" s="5"/>
      <c r="B595" s="2"/>
      <c r="C595" s="2" t="s">
        <v>646</v>
      </c>
      <c r="D595" s="2"/>
      <c r="E595" s="2"/>
      <c r="F595" s="2"/>
      <c r="G595" s="2"/>
      <c r="H595" s="2"/>
      <c r="I595" s="2"/>
    </row>
    <row r="596">
      <c r="A596" s="5"/>
      <c r="B596" s="2"/>
      <c r="C596" s="2" t="s">
        <v>646</v>
      </c>
      <c r="D596" s="2"/>
      <c r="E596" s="2"/>
      <c r="F596" s="2"/>
      <c r="G596" s="2"/>
      <c r="H596" s="2"/>
      <c r="I596" s="2"/>
    </row>
    <row r="597">
      <c r="A597" s="5"/>
      <c r="B597" s="2"/>
      <c r="C597" s="2" t="s">
        <v>646</v>
      </c>
      <c r="D597" s="2"/>
      <c r="E597" s="2"/>
      <c r="F597" s="2"/>
      <c r="G597" s="2"/>
      <c r="H597" s="2"/>
      <c r="I597" s="2"/>
    </row>
    <row r="598">
      <c r="A598" s="5"/>
      <c r="B598" s="2"/>
      <c r="C598" s="2" t="s">
        <v>646</v>
      </c>
      <c r="D598" s="2"/>
      <c r="E598" s="2"/>
      <c r="F598" s="2"/>
      <c r="G598" s="2"/>
      <c r="H598" s="2"/>
      <c r="I598" s="2"/>
    </row>
    <row r="599">
      <c r="A599" s="5"/>
      <c r="B599" s="2"/>
      <c r="C599" s="2" t="s">
        <v>646</v>
      </c>
      <c r="D599" s="2"/>
      <c r="E599" s="2"/>
      <c r="F599" s="2"/>
      <c r="G599" s="2"/>
      <c r="H599" s="2"/>
      <c r="I599" s="2"/>
    </row>
    <row r="600">
      <c r="A600" s="5"/>
      <c r="B600" s="2"/>
      <c r="C600" s="2" t="s">
        <v>646</v>
      </c>
      <c r="D600" s="2"/>
      <c r="E600" s="2"/>
      <c r="F600" s="2"/>
      <c r="G600" s="2"/>
      <c r="H600" s="2"/>
      <c r="I600" s="2"/>
    </row>
    <row r="601">
      <c r="A601" s="5"/>
      <c r="B601" s="2"/>
      <c r="C601" s="2" t="s">
        <v>646</v>
      </c>
      <c r="D601" s="2"/>
      <c r="E601" s="2"/>
      <c r="F601" s="2"/>
      <c r="G601" s="2"/>
      <c r="H601" s="2"/>
      <c r="I601" s="2"/>
    </row>
    <row r="602">
      <c r="A602" s="5"/>
      <c r="B602" s="2"/>
      <c r="C602" s="2" t="s">
        <v>646</v>
      </c>
      <c r="D602" s="2"/>
      <c r="E602" s="2"/>
      <c r="F602" s="2"/>
      <c r="G602" s="2"/>
      <c r="H602" s="2"/>
      <c r="I602" s="2"/>
    </row>
    <row r="603">
      <c r="A603" s="5"/>
      <c r="B603" s="2"/>
      <c r="C603" s="2" t="s">
        <v>646</v>
      </c>
      <c r="D603" s="2"/>
      <c r="E603" s="2"/>
      <c r="F603" s="2"/>
      <c r="G603" s="2"/>
      <c r="H603" s="2"/>
      <c r="I603" s="2"/>
    </row>
    <row r="604">
      <c r="A604" s="5"/>
      <c r="B604" s="2"/>
      <c r="C604" s="2" t="s">
        <v>646</v>
      </c>
      <c r="D604" s="2"/>
      <c r="E604" s="2"/>
      <c r="F604" s="2"/>
      <c r="G604" s="2"/>
      <c r="H604" s="2"/>
      <c r="I604" s="2"/>
    </row>
    <row r="605">
      <c r="A605" s="5"/>
      <c r="B605" s="2"/>
      <c r="C605" s="2" t="s">
        <v>646</v>
      </c>
      <c r="D605" s="2"/>
      <c r="E605" s="2"/>
      <c r="F605" s="2"/>
      <c r="G605" s="2"/>
      <c r="H605" s="2"/>
      <c r="I605" s="2"/>
    </row>
    <row r="606">
      <c r="A606" s="5"/>
      <c r="B606" s="2"/>
      <c r="C606" s="2" t="s">
        <v>646</v>
      </c>
      <c r="D606" s="2"/>
      <c r="E606" s="2"/>
      <c r="F606" s="2"/>
      <c r="G606" s="2"/>
      <c r="H606" s="2"/>
      <c r="I606" s="2"/>
    </row>
    <row r="607">
      <c r="A607" s="5"/>
      <c r="B607" s="2"/>
      <c r="C607" s="2" t="s">
        <v>646</v>
      </c>
      <c r="D607" s="2"/>
      <c r="E607" s="2"/>
      <c r="F607" s="2"/>
      <c r="G607" s="2"/>
      <c r="H607" s="2"/>
      <c r="I607" s="2"/>
    </row>
    <row r="608">
      <c r="A608" s="5"/>
      <c r="B608" s="2"/>
      <c r="C608" s="2" t="s">
        <v>646</v>
      </c>
      <c r="D608" s="2"/>
      <c r="E608" s="2"/>
      <c r="F608" s="2"/>
      <c r="G608" s="2"/>
      <c r="H608" s="2"/>
      <c r="I608" s="2"/>
    </row>
    <row r="609">
      <c r="A609" s="5"/>
      <c r="B609" s="2"/>
      <c r="C609" s="2" t="s">
        <v>646</v>
      </c>
      <c r="D609" s="2"/>
      <c r="E609" s="2"/>
      <c r="F609" s="2"/>
      <c r="G609" s="2"/>
      <c r="H609" s="2"/>
      <c r="I609" s="2"/>
    </row>
    <row r="610">
      <c r="A610" s="5"/>
      <c r="B610" s="2"/>
      <c r="C610" s="2" t="s">
        <v>646</v>
      </c>
      <c r="D610" s="2"/>
      <c r="E610" s="2"/>
      <c r="F610" s="2"/>
      <c r="G610" s="2"/>
      <c r="H610" s="2"/>
      <c r="I610" s="2"/>
    </row>
    <row r="611">
      <c r="A611" s="5"/>
      <c r="B611" s="2"/>
      <c r="C611" s="2" t="s">
        <v>646</v>
      </c>
      <c r="D611" s="2"/>
      <c r="E611" s="2"/>
      <c r="F611" s="2"/>
      <c r="G611" s="2"/>
      <c r="H611" s="2"/>
      <c r="I611" s="2"/>
    </row>
    <row r="612">
      <c r="A612" s="5"/>
      <c r="B612" s="2"/>
      <c r="C612" s="2" t="s">
        <v>646</v>
      </c>
      <c r="D612" s="2"/>
      <c r="E612" s="2"/>
      <c r="F612" s="2"/>
      <c r="G612" s="2"/>
      <c r="H612" s="2"/>
      <c r="I612" s="2"/>
    </row>
    <row r="613">
      <c r="A613" s="5"/>
      <c r="B613" s="2"/>
      <c r="C613" s="2" t="s">
        <v>646</v>
      </c>
      <c r="D613" s="2"/>
      <c r="E613" s="2"/>
      <c r="F613" s="2"/>
      <c r="G613" s="2"/>
      <c r="H613" s="2"/>
      <c r="I613" s="2"/>
    </row>
    <row r="614">
      <c r="A614" s="5"/>
      <c r="B614" s="2"/>
      <c r="C614" s="2" t="s">
        <v>646</v>
      </c>
      <c r="D614" s="2"/>
      <c r="E614" s="2"/>
      <c r="F614" s="2"/>
      <c r="G614" s="2"/>
      <c r="H614" s="2"/>
      <c r="I614" s="2"/>
    </row>
    <row r="615">
      <c r="A615" s="5"/>
      <c r="B615" s="2"/>
      <c r="C615" s="2" t="s">
        <v>646</v>
      </c>
      <c r="D615" s="2"/>
      <c r="E615" s="2"/>
      <c r="F615" s="2"/>
      <c r="G615" s="2"/>
      <c r="H615" s="2"/>
      <c r="I615" s="2"/>
    </row>
    <row r="616">
      <c r="A616" s="5"/>
      <c r="B616" s="2"/>
      <c r="C616" s="2" t="s">
        <v>646</v>
      </c>
      <c r="D616" s="2"/>
      <c r="E616" s="2"/>
      <c r="F616" s="2"/>
      <c r="G616" s="2"/>
      <c r="H616" s="2"/>
      <c r="I616" s="2"/>
    </row>
    <row r="617">
      <c r="A617" s="5"/>
      <c r="B617" s="2"/>
      <c r="C617" s="2" t="s">
        <v>646</v>
      </c>
      <c r="D617" s="2"/>
      <c r="E617" s="2"/>
      <c r="F617" s="2"/>
      <c r="G617" s="2"/>
      <c r="H617" s="2"/>
      <c r="I617" s="2"/>
    </row>
    <row r="618">
      <c r="A618" s="5"/>
      <c r="B618" s="2"/>
      <c r="C618" s="2" t="s">
        <v>646</v>
      </c>
      <c r="D618" s="2"/>
      <c r="E618" s="2"/>
      <c r="F618" s="2"/>
      <c r="G618" s="2"/>
      <c r="H618" s="2"/>
      <c r="I618" s="2"/>
    </row>
    <row r="619">
      <c r="A619" s="5"/>
      <c r="B619" s="2"/>
      <c r="C619" s="2" t="s">
        <v>646</v>
      </c>
      <c r="D619" s="2"/>
      <c r="E619" s="2"/>
      <c r="F619" s="2"/>
      <c r="G619" s="2"/>
      <c r="H619" s="2"/>
      <c r="I619" s="2"/>
    </row>
    <row r="620">
      <c r="A620" s="5"/>
      <c r="B620" s="2"/>
      <c r="C620" s="2" t="s">
        <v>646</v>
      </c>
      <c r="D620" s="2"/>
      <c r="E620" s="2"/>
      <c r="F620" s="2"/>
      <c r="G620" s="2"/>
      <c r="H620" s="2"/>
      <c r="I620" s="2"/>
    </row>
    <row r="621">
      <c r="A621" s="5"/>
      <c r="B621" s="2"/>
      <c r="C621" s="2" t="s">
        <v>646</v>
      </c>
      <c r="D621" s="2"/>
      <c r="E621" s="2"/>
      <c r="F621" s="2"/>
      <c r="G621" s="2"/>
      <c r="H621" s="2"/>
      <c r="I621" s="2"/>
    </row>
    <row r="622">
      <c r="A622" s="5"/>
      <c r="B622" s="2"/>
      <c r="C622" s="2" t="s">
        <v>646</v>
      </c>
      <c r="D622" s="2"/>
      <c r="E622" s="2"/>
      <c r="F622" s="2"/>
      <c r="G622" s="2"/>
      <c r="H622" s="2"/>
      <c r="I622" s="2"/>
    </row>
    <row r="623">
      <c r="A623" s="5"/>
      <c r="B623" s="2"/>
      <c r="C623" s="2" t="s">
        <v>646</v>
      </c>
      <c r="D623" s="2"/>
      <c r="E623" s="2"/>
      <c r="F623" s="2"/>
      <c r="G623" s="2"/>
      <c r="H623" s="2"/>
      <c r="I623" s="2"/>
    </row>
    <row r="624">
      <c r="A624" s="5"/>
      <c r="B624" s="2"/>
      <c r="C624" s="2" t="s">
        <v>646</v>
      </c>
      <c r="D624" s="2"/>
      <c r="E624" s="2"/>
      <c r="F624" s="2"/>
      <c r="G624" s="2"/>
      <c r="H624" s="2"/>
      <c r="I624" s="2"/>
    </row>
    <row r="625">
      <c r="A625" s="5"/>
      <c r="B625" s="2"/>
      <c r="C625" s="2" t="s">
        <v>646</v>
      </c>
      <c r="D625" s="2"/>
      <c r="E625" s="2"/>
      <c r="F625" s="2"/>
      <c r="G625" s="2"/>
      <c r="H625" s="2"/>
      <c r="I625" s="2"/>
    </row>
    <row r="626">
      <c r="A626" s="5"/>
      <c r="B626" s="2"/>
      <c r="C626" s="2" t="s">
        <v>646</v>
      </c>
      <c r="D626" s="2"/>
      <c r="E626" s="2"/>
      <c r="F626" s="2"/>
      <c r="G626" s="2"/>
      <c r="H626" s="2"/>
      <c r="I626" s="2"/>
    </row>
    <row r="627">
      <c r="A627" s="5"/>
      <c r="B627" s="2"/>
      <c r="C627" s="2" t="s">
        <v>646</v>
      </c>
      <c r="D627" s="2"/>
      <c r="E627" s="2"/>
      <c r="F627" s="2"/>
      <c r="G627" s="2"/>
      <c r="H627" s="2"/>
      <c r="I627" s="2"/>
    </row>
    <row r="628">
      <c r="A628" s="5"/>
      <c r="B628" s="2"/>
      <c r="C628" s="2" t="s">
        <v>646</v>
      </c>
      <c r="D628" s="2"/>
      <c r="E628" s="2"/>
      <c r="F628" s="2"/>
      <c r="G628" s="2"/>
      <c r="H628" s="2"/>
      <c r="I628" s="2"/>
    </row>
    <row r="629">
      <c r="A629" s="5"/>
      <c r="B629" s="2"/>
      <c r="C629" s="2" t="s">
        <v>646</v>
      </c>
      <c r="D629" s="2"/>
      <c r="E629" s="2"/>
      <c r="F629" s="2"/>
      <c r="G629" s="2"/>
      <c r="H629" s="2"/>
      <c r="I629" s="2"/>
    </row>
    <row r="630">
      <c r="A630" s="5"/>
      <c r="B630" s="2"/>
      <c r="C630" s="2" t="s">
        <v>646</v>
      </c>
      <c r="D630" s="2"/>
      <c r="E630" s="2"/>
      <c r="F630" s="2"/>
      <c r="G630" s="2"/>
      <c r="H630" s="2"/>
      <c r="I630" s="2"/>
    </row>
    <row r="631">
      <c r="A631" s="5"/>
      <c r="B631" s="2"/>
      <c r="C631" s="2" t="s">
        <v>646</v>
      </c>
      <c r="D631" s="2"/>
      <c r="E631" s="2"/>
      <c r="F631" s="2"/>
      <c r="G631" s="2"/>
      <c r="H631" s="2"/>
      <c r="I631" s="2"/>
    </row>
    <row r="632">
      <c r="A632" s="5"/>
      <c r="B632" s="2"/>
      <c r="C632" s="2" t="s">
        <v>646</v>
      </c>
      <c r="D632" s="2"/>
      <c r="E632" s="2"/>
      <c r="F632" s="2"/>
      <c r="G632" s="2"/>
      <c r="H632" s="2"/>
      <c r="I632" s="2"/>
    </row>
    <row r="633">
      <c r="A633" s="5"/>
      <c r="B633" s="2"/>
      <c r="C633" s="2" t="s">
        <v>646</v>
      </c>
      <c r="D633" s="2"/>
      <c r="E633" s="2"/>
      <c r="F633" s="2"/>
      <c r="G633" s="2"/>
      <c r="H633" s="2"/>
      <c r="I633" s="2"/>
    </row>
    <row r="634">
      <c r="A634" s="5"/>
      <c r="B634" s="2"/>
      <c r="C634" s="2" t="s">
        <v>646</v>
      </c>
      <c r="D634" s="2"/>
      <c r="E634" s="2"/>
      <c r="F634" s="2"/>
      <c r="G634" s="2"/>
      <c r="H634" s="2"/>
      <c r="I634" s="2"/>
    </row>
    <row r="635">
      <c r="A635" s="5"/>
      <c r="B635" s="2"/>
      <c r="C635" s="2" t="s">
        <v>646</v>
      </c>
      <c r="D635" s="2"/>
      <c r="E635" s="2"/>
      <c r="F635" s="2"/>
      <c r="G635" s="2"/>
      <c r="H635" s="2"/>
      <c r="I635" s="2"/>
    </row>
    <row r="636">
      <c r="A636" s="5"/>
      <c r="B636" s="2"/>
      <c r="C636" s="2" t="s">
        <v>646</v>
      </c>
      <c r="D636" s="2"/>
      <c r="E636" s="2"/>
      <c r="F636" s="2"/>
      <c r="G636" s="2"/>
      <c r="H636" s="2"/>
      <c r="I636" s="2"/>
    </row>
    <row r="637">
      <c r="A637" s="5"/>
      <c r="B637" s="2"/>
      <c r="C637" s="2" t="s">
        <v>646</v>
      </c>
      <c r="D637" s="2"/>
      <c r="E637" s="2"/>
      <c r="F637" s="2"/>
      <c r="G637" s="2"/>
      <c r="H637" s="2"/>
      <c r="I637" s="2"/>
    </row>
    <row r="638">
      <c r="A638" s="5"/>
      <c r="B638" s="2"/>
      <c r="C638" s="2" t="s">
        <v>646</v>
      </c>
      <c r="D638" s="2"/>
      <c r="E638" s="2"/>
      <c r="F638" s="2"/>
      <c r="G638" s="2"/>
      <c r="H638" s="2"/>
      <c r="I638" s="2"/>
    </row>
    <row r="639">
      <c r="A639" s="5"/>
      <c r="B639" s="2"/>
      <c r="C639" s="2" t="s">
        <v>646</v>
      </c>
      <c r="D639" s="2"/>
      <c r="E639" s="2"/>
      <c r="F639" s="2"/>
      <c r="G639" s="2"/>
      <c r="H639" s="2"/>
      <c r="I639" s="2"/>
    </row>
    <row r="640">
      <c r="A640" s="5"/>
      <c r="B640" s="2"/>
      <c r="C640" s="2" t="s">
        <v>646</v>
      </c>
      <c r="D640" s="2"/>
      <c r="E640" s="2"/>
      <c r="F640" s="2"/>
      <c r="G640" s="2"/>
      <c r="H640" s="2"/>
      <c r="I640" s="2"/>
    </row>
    <row r="641">
      <c r="A641" s="5"/>
      <c r="B641" s="2"/>
      <c r="C641" s="2" t="s">
        <v>646</v>
      </c>
      <c r="D641" s="2"/>
      <c r="E641" s="2"/>
      <c r="F641" s="2"/>
      <c r="G641" s="2"/>
      <c r="H641" s="2"/>
      <c r="I641" s="2"/>
    </row>
    <row r="642">
      <c r="A642" s="5"/>
      <c r="B642" s="2"/>
      <c r="C642" s="2" t="s">
        <v>646</v>
      </c>
      <c r="D642" s="2"/>
      <c r="E642" s="2"/>
      <c r="F642" s="2"/>
      <c r="G642" s="2"/>
      <c r="H642" s="2"/>
      <c r="I642" s="2"/>
    </row>
    <row r="643">
      <c r="A643" s="5"/>
      <c r="B643" s="2"/>
      <c r="C643" s="2" t="s">
        <v>646</v>
      </c>
      <c r="D643" s="2"/>
      <c r="E643" s="2"/>
      <c r="F643" s="2"/>
      <c r="G643" s="2"/>
      <c r="H643" s="2"/>
      <c r="I643" s="2"/>
    </row>
    <row r="644">
      <c r="A644" s="5"/>
      <c r="B644" s="2"/>
      <c r="C644" s="2" t="s">
        <v>646</v>
      </c>
      <c r="D644" s="2"/>
      <c r="E644" s="2"/>
      <c r="F644" s="2"/>
      <c r="G644" s="2"/>
      <c r="H644" s="2"/>
      <c r="I644" s="2"/>
    </row>
    <row r="645">
      <c r="A645" s="5"/>
      <c r="B645" s="2"/>
      <c r="C645" s="2" t="s">
        <v>646</v>
      </c>
      <c r="D645" s="2"/>
      <c r="E645" s="2"/>
      <c r="F645" s="2"/>
      <c r="G645" s="2"/>
      <c r="H645" s="2"/>
      <c r="I645" s="2"/>
    </row>
    <row r="646">
      <c r="A646" s="5"/>
      <c r="B646" s="2"/>
      <c r="C646" s="2" t="s">
        <v>646</v>
      </c>
      <c r="D646" s="2"/>
      <c r="E646" s="2"/>
      <c r="F646" s="2"/>
      <c r="G646" s="2"/>
      <c r="H646" s="2"/>
      <c r="I646" s="2"/>
    </row>
    <row r="647">
      <c r="A647" s="5"/>
      <c r="B647" s="2"/>
      <c r="C647" s="2" t="s">
        <v>646</v>
      </c>
      <c r="D647" s="2"/>
      <c r="E647" s="2"/>
      <c r="F647" s="2"/>
      <c r="G647" s="2"/>
      <c r="H647" s="2"/>
      <c r="I647" s="2"/>
    </row>
    <row r="648">
      <c r="A648" s="5"/>
      <c r="B648" s="2"/>
      <c r="C648" s="2" t="s">
        <v>646</v>
      </c>
      <c r="D648" s="2"/>
      <c r="E648" s="2"/>
      <c r="F648" s="2"/>
      <c r="G648" s="2"/>
      <c r="H648" s="2"/>
      <c r="I648" s="2"/>
    </row>
    <row r="649">
      <c r="A649" s="5"/>
      <c r="B649" s="2"/>
      <c r="C649" s="2" t="s">
        <v>646</v>
      </c>
      <c r="D649" s="2"/>
      <c r="E649" s="2"/>
      <c r="F649" s="2"/>
      <c r="G649" s="2"/>
      <c r="H649" s="2"/>
      <c r="I649" s="2"/>
    </row>
    <row r="650">
      <c r="A650" s="5"/>
      <c r="B650" s="2"/>
      <c r="C650" s="2" t="s">
        <v>646</v>
      </c>
      <c r="D650" s="2"/>
      <c r="E650" s="2"/>
      <c r="F650" s="2"/>
      <c r="G650" s="2"/>
      <c r="H650" s="2"/>
      <c r="I650" s="2"/>
    </row>
    <row r="651">
      <c r="A651" s="5"/>
      <c r="B651" s="2"/>
      <c r="C651" s="2" t="s">
        <v>646</v>
      </c>
      <c r="D651" s="2"/>
      <c r="E651" s="2"/>
      <c r="F651" s="2"/>
      <c r="G651" s="2"/>
      <c r="H651" s="2"/>
      <c r="I651" s="2"/>
    </row>
    <row r="652">
      <c r="A652" s="5"/>
      <c r="B652" s="2"/>
      <c r="C652" s="2" t="s">
        <v>646</v>
      </c>
      <c r="D652" s="2"/>
      <c r="E652" s="2"/>
      <c r="F652" s="2"/>
      <c r="G652" s="2"/>
      <c r="H652" s="2"/>
      <c r="I652" s="2"/>
    </row>
    <row r="653">
      <c r="A653" s="5"/>
      <c r="B653" s="2"/>
      <c r="C653" s="2" t="s">
        <v>646</v>
      </c>
      <c r="D653" s="2"/>
      <c r="E653" s="2"/>
      <c r="F653" s="2"/>
      <c r="G653" s="2"/>
      <c r="H653" s="2"/>
      <c r="I653" s="2"/>
    </row>
    <row r="654">
      <c r="A654" s="5"/>
      <c r="B654" s="2"/>
      <c r="C654" s="2" t="s">
        <v>646</v>
      </c>
      <c r="D654" s="2"/>
      <c r="E654" s="2"/>
      <c r="F654" s="2"/>
      <c r="G654" s="2"/>
      <c r="H654" s="2"/>
      <c r="I654" s="2"/>
    </row>
    <row r="655">
      <c r="A655" s="5"/>
      <c r="B655" s="2"/>
      <c r="C655" s="2" t="s">
        <v>646</v>
      </c>
      <c r="D655" s="2"/>
      <c r="E655" s="2"/>
      <c r="F655" s="2"/>
      <c r="G655" s="2"/>
      <c r="H655" s="2"/>
      <c r="I655" s="2"/>
    </row>
    <row r="656">
      <c r="A656" s="5"/>
      <c r="B656" s="2"/>
      <c r="C656" s="2" t="s">
        <v>646</v>
      </c>
      <c r="D656" s="2"/>
      <c r="E656" s="2"/>
      <c r="F656" s="2"/>
      <c r="G656" s="2"/>
      <c r="H656" s="2"/>
      <c r="I656" s="2"/>
    </row>
    <row r="657">
      <c r="A657" s="5"/>
      <c r="B657" s="2"/>
      <c r="C657" s="2" t="s">
        <v>646</v>
      </c>
      <c r="D657" s="2"/>
      <c r="E657" s="2"/>
      <c r="F657" s="2"/>
      <c r="G657" s="2"/>
      <c r="H657" s="2"/>
      <c r="I657" s="2"/>
    </row>
    <row r="658">
      <c r="A658" s="5"/>
      <c r="B658" s="2"/>
      <c r="C658" s="2" t="s">
        <v>646</v>
      </c>
      <c r="D658" s="2"/>
      <c r="E658" s="2"/>
      <c r="F658" s="2"/>
      <c r="G658" s="2"/>
      <c r="H658" s="2"/>
      <c r="I658" s="2"/>
    </row>
    <row r="659">
      <c r="A659" s="5"/>
      <c r="B659" s="2"/>
      <c r="C659" s="2" t="s">
        <v>646</v>
      </c>
      <c r="D659" s="2"/>
      <c r="E659" s="2"/>
      <c r="F659" s="2"/>
      <c r="G659" s="2"/>
      <c r="H659" s="2"/>
      <c r="I659" s="2"/>
    </row>
    <row r="660">
      <c r="A660" s="5"/>
      <c r="B660" s="2"/>
      <c r="C660" s="2" t="s">
        <v>646</v>
      </c>
      <c r="D660" s="2"/>
      <c r="E660" s="2"/>
      <c r="F660" s="2"/>
      <c r="G660" s="2"/>
      <c r="H660" s="2"/>
      <c r="I660" s="2"/>
    </row>
    <row r="661">
      <c r="A661" s="5"/>
      <c r="B661" s="2"/>
      <c r="C661" s="2" t="s">
        <v>646</v>
      </c>
      <c r="D661" s="2"/>
      <c r="E661" s="2"/>
      <c r="F661" s="2"/>
      <c r="G661" s="2"/>
      <c r="H661" s="2"/>
      <c r="I661" s="2"/>
    </row>
    <row r="662">
      <c r="A662" s="5"/>
      <c r="B662" s="2"/>
      <c r="C662" s="2" t="s">
        <v>646</v>
      </c>
      <c r="D662" s="2"/>
      <c r="E662" s="2"/>
      <c r="F662" s="2"/>
      <c r="G662" s="2"/>
      <c r="H662" s="2"/>
      <c r="I662" s="2"/>
    </row>
    <row r="663">
      <c r="A663" s="5"/>
      <c r="B663" s="2"/>
      <c r="C663" s="2" t="s">
        <v>646</v>
      </c>
      <c r="D663" s="2"/>
      <c r="E663" s="2"/>
      <c r="F663" s="2"/>
      <c r="G663" s="2"/>
      <c r="H663" s="2"/>
      <c r="I663" s="2"/>
    </row>
    <row r="664">
      <c r="A664" s="5"/>
      <c r="B664" s="2"/>
      <c r="C664" s="2" t="s">
        <v>646</v>
      </c>
      <c r="D664" s="2"/>
      <c r="E664" s="2"/>
      <c r="F664" s="2"/>
      <c r="G664" s="2"/>
      <c r="H664" s="2"/>
      <c r="I664" s="2"/>
    </row>
    <row r="665">
      <c r="A665" s="5"/>
      <c r="B665" s="2"/>
      <c r="C665" s="2" t="s">
        <v>646</v>
      </c>
      <c r="D665" s="2"/>
      <c r="E665" s="2"/>
      <c r="F665" s="2"/>
      <c r="G665" s="2"/>
      <c r="H665" s="2"/>
      <c r="I665" s="2"/>
    </row>
    <row r="666">
      <c r="A666" s="5"/>
      <c r="B666" s="2"/>
      <c r="C666" s="2" t="s">
        <v>646</v>
      </c>
      <c r="D666" s="2"/>
      <c r="E666" s="2"/>
      <c r="F666" s="2"/>
      <c r="G666" s="2"/>
      <c r="H666" s="2"/>
      <c r="I666" s="2"/>
    </row>
    <row r="667">
      <c r="A667" s="5"/>
      <c r="B667" s="2"/>
      <c r="C667" s="2" t="s">
        <v>646</v>
      </c>
      <c r="D667" s="2"/>
      <c r="E667" s="2"/>
      <c r="F667" s="2"/>
      <c r="G667" s="2"/>
      <c r="H667" s="2"/>
      <c r="I667" s="2"/>
    </row>
    <row r="668">
      <c r="A668" s="5"/>
      <c r="B668" s="2"/>
      <c r="C668" s="2" t="s">
        <v>646</v>
      </c>
      <c r="D668" s="2"/>
      <c r="E668" s="2"/>
      <c r="F668" s="2"/>
      <c r="G668" s="2"/>
      <c r="H668" s="2"/>
      <c r="I668" s="2"/>
    </row>
    <row r="669">
      <c r="A669" s="5"/>
      <c r="B669" s="2"/>
      <c r="C669" s="2" t="s">
        <v>646</v>
      </c>
      <c r="D669" s="2"/>
      <c r="E669" s="2"/>
      <c r="F669" s="2"/>
      <c r="G669" s="2"/>
      <c r="H669" s="2"/>
      <c r="I669" s="2"/>
    </row>
    <row r="670">
      <c r="A670" s="5"/>
      <c r="B670" s="2"/>
      <c r="C670" s="2" t="s">
        <v>646</v>
      </c>
      <c r="D670" s="2"/>
      <c r="E670" s="2"/>
      <c r="F670" s="2"/>
      <c r="G670" s="2"/>
      <c r="H670" s="2"/>
      <c r="I670" s="2"/>
    </row>
    <row r="671">
      <c r="A671" s="5"/>
      <c r="B671" s="2"/>
      <c r="C671" s="2" t="s">
        <v>646</v>
      </c>
      <c r="D671" s="2"/>
      <c r="E671" s="2"/>
      <c r="F671" s="2"/>
      <c r="G671" s="2"/>
      <c r="H671" s="2"/>
      <c r="I671" s="2"/>
    </row>
    <row r="672">
      <c r="A672" s="5"/>
      <c r="B672" s="2"/>
      <c r="C672" s="2" t="s">
        <v>646</v>
      </c>
      <c r="D672" s="2"/>
      <c r="E672" s="2"/>
      <c r="F672" s="2"/>
      <c r="G672" s="2"/>
      <c r="H672" s="2"/>
      <c r="I672" s="2"/>
    </row>
    <row r="673">
      <c r="A673" s="5"/>
      <c r="B673" s="2"/>
      <c r="C673" s="2" t="s">
        <v>646</v>
      </c>
      <c r="D673" s="2"/>
      <c r="E673" s="2"/>
      <c r="F673" s="2"/>
      <c r="G673" s="2"/>
      <c r="H673" s="2"/>
      <c r="I673" s="2"/>
    </row>
    <row r="674">
      <c r="A674" s="5"/>
      <c r="B674" s="2"/>
      <c r="C674" s="2" t="s">
        <v>646</v>
      </c>
      <c r="D674" s="2"/>
      <c r="E674" s="2"/>
      <c r="F674" s="2"/>
      <c r="G674" s="2"/>
      <c r="H674" s="2"/>
      <c r="I674" s="2"/>
    </row>
    <row r="675">
      <c r="A675" s="5"/>
      <c r="B675" s="2"/>
      <c r="C675" s="2" t="s">
        <v>646</v>
      </c>
      <c r="D675" s="2"/>
      <c r="E675" s="2"/>
      <c r="F675" s="2"/>
      <c r="G675" s="2"/>
      <c r="H675" s="2"/>
      <c r="I675" s="2"/>
    </row>
    <row r="676">
      <c r="A676" s="5"/>
      <c r="B676" s="2"/>
      <c r="C676" s="2" t="s">
        <v>646</v>
      </c>
      <c r="D676" s="2"/>
      <c r="E676" s="2"/>
      <c r="F676" s="2"/>
      <c r="G676" s="2"/>
      <c r="H676" s="2"/>
      <c r="I676" s="2"/>
    </row>
    <row r="677">
      <c r="A677" s="5"/>
      <c r="B677" s="2"/>
      <c r="C677" s="2" t="s">
        <v>646</v>
      </c>
      <c r="D677" s="2"/>
      <c r="E677" s="2"/>
      <c r="F677" s="2"/>
      <c r="G677" s="2"/>
      <c r="H677" s="2"/>
      <c r="I677" s="2"/>
    </row>
    <row r="678">
      <c r="A678" s="5"/>
      <c r="B678" s="2"/>
      <c r="C678" s="2" t="s">
        <v>646</v>
      </c>
      <c r="D678" s="2"/>
      <c r="E678" s="2"/>
      <c r="F678" s="2"/>
      <c r="G678" s="2"/>
      <c r="H678" s="2"/>
      <c r="I678" s="2"/>
    </row>
    <row r="679">
      <c r="A679" s="5"/>
      <c r="B679" s="2"/>
      <c r="C679" s="2" t="s">
        <v>646</v>
      </c>
      <c r="D679" s="2"/>
      <c r="E679" s="2"/>
      <c r="F679" s="2"/>
      <c r="G679" s="2"/>
      <c r="H679" s="2"/>
      <c r="I679" s="2"/>
    </row>
    <row r="680">
      <c r="A680" s="5"/>
      <c r="B680" s="2"/>
      <c r="C680" s="2" t="s">
        <v>646</v>
      </c>
      <c r="D680" s="2"/>
      <c r="E680" s="2"/>
      <c r="F680" s="2"/>
      <c r="G680" s="2"/>
      <c r="H680" s="2"/>
      <c r="I680" s="2"/>
    </row>
    <row r="681">
      <c r="A681" s="5"/>
      <c r="B681" s="2"/>
      <c r="C681" s="2" t="s">
        <v>646</v>
      </c>
      <c r="D681" s="2"/>
      <c r="E681" s="2"/>
      <c r="F681" s="2"/>
      <c r="G681" s="2"/>
      <c r="H681" s="2"/>
      <c r="I681" s="2"/>
    </row>
    <row r="682">
      <c r="A682" s="5"/>
      <c r="B682" s="2"/>
      <c r="C682" s="2" t="s">
        <v>646</v>
      </c>
      <c r="D682" s="2"/>
      <c r="E682" s="2"/>
      <c r="F682" s="2"/>
      <c r="G682" s="2"/>
      <c r="H682" s="2"/>
      <c r="I682" s="2"/>
    </row>
    <row r="683">
      <c r="A683" s="5"/>
      <c r="B683" s="2"/>
      <c r="C683" s="2" t="s">
        <v>646</v>
      </c>
      <c r="D683" s="2"/>
      <c r="E683" s="2"/>
      <c r="F683" s="2"/>
      <c r="G683" s="2"/>
      <c r="H683" s="2"/>
      <c r="I683" s="2"/>
    </row>
    <row r="684">
      <c r="A684" s="5"/>
      <c r="B684" s="2"/>
      <c r="C684" s="2" t="s">
        <v>646</v>
      </c>
      <c r="D684" s="2"/>
      <c r="E684" s="2"/>
      <c r="F684" s="2"/>
      <c r="G684" s="2"/>
      <c r="H684" s="2"/>
      <c r="I684" s="2"/>
    </row>
    <row r="685">
      <c r="A685" s="5"/>
      <c r="B685" s="2"/>
      <c r="C685" s="2" t="s">
        <v>646</v>
      </c>
      <c r="D685" s="2"/>
      <c r="E685" s="2"/>
      <c r="F685" s="2"/>
      <c r="G685" s="2"/>
      <c r="H685" s="2"/>
      <c r="I685" s="2"/>
    </row>
    <row r="686">
      <c r="A686" s="5"/>
      <c r="B686" s="2"/>
      <c r="C686" s="2" t="s">
        <v>646</v>
      </c>
      <c r="D686" s="2"/>
      <c r="E686" s="2"/>
      <c r="F686" s="2"/>
      <c r="G686" s="2"/>
      <c r="H686" s="2"/>
      <c r="I686" s="2"/>
    </row>
    <row r="687">
      <c r="A687" s="5"/>
      <c r="B687" s="2"/>
      <c r="C687" s="2" t="s">
        <v>646</v>
      </c>
      <c r="D687" s="2"/>
      <c r="E687" s="2"/>
      <c r="F687" s="2"/>
      <c r="G687" s="2"/>
      <c r="H687" s="2"/>
      <c r="I687" s="2"/>
    </row>
    <row r="688">
      <c r="A688" s="5"/>
      <c r="B688" s="2"/>
      <c r="C688" s="2" t="s">
        <v>646</v>
      </c>
      <c r="D688" s="2"/>
      <c r="E688" s="2"/>
      <c r="F688" s="2"/>
      <c r="G688" s="2"/>
      <c r="H688" s="2"/>
      <c r="I688" s="2"/>
    </row>
    <row r="689">
      <c r="A689" s="5"/>
      <c r="B689" s="2"/>
      <c r="C689" s="2" t="s">
        <v>646</v>
      </c>
      <c r="D689" s="2"/>
      <c r="E689" s="2"/>
      <c r="F689" s="2"/>
      <c r="G689" s="2"/>
      <c r="H689" s="2"/>
      <c r="I689" s="2"/>
    </row>
    <row r="690">
      <c r="A690" s="5"/>
      <c r="B690" s="2"/>
      <c r="C690" s="2" t="s">
        <v>646</v>
      </c>
      <c r="D690" s="2"/>
      <c r="E690" s="2"/>
      <c r="F690" s="2"/>
      <c r="G690" s="2"/>
      <c r="H690" s="2"/>
      <c r="I690" s="2"/>
    </row>
    <row r="691">
      <c r="A691" s="5"/>
      <c r="B691" s="2"/>
      <c r="C691" s="2" t="s">
        <v>646</v>
      </c>
      <c r="D691" s="2"/>
      <c r="E691" s="2"/>
      <c r="F691" s="2"/>
      <c r="G691" s="2"/>
      <c r="H691" s="2"/>
      <c r="I691" s="2"/>
    </row>
    <row r="692">
      <c r="A692" s="5"/>
      <c r="B692" s="2"/>
      <c r="C692" s="2" t="s">
        <v>646</v>
      </c>
      <c r="D692" s="2"/>
      <c r="E692" s="2"/>
      <c r="F692" s="2"/>
      <c r="G692" s="2"/>
      <c r="H692" s="2"/>
      <c r="I692" s="2"/>
    </row>
    <row r="693">
      <c r="A693" s="5"/>
      <c r="B693" s="2"/>
      <c r="C693" s="2" t="s">
        <v>646</v>
      </c>
      <c r="D693" s="2"/>
      <c r="E693" s="2"/>
      <c r="F693" s="2"/>
      <c r="G693" s="2"/>
      <c r="H693" s="2"/>
      <c r="I693" s="2"/>
    </row>
    <row r="694">
      <c r="A694" s="5"/>
      <c r="B694" s="2"/>
      <c r="C694" s="2" t="s">
        <v>646</v>
      </c>
      <c r="D694" s="2"/>
      <c r="E694" s="2"/>
      <c r="F694" s="2"/>
      <c r="G694" s="2"/>
      <c r="H694" s="2"/>
      <c r="I694" s="2"/>
    </row>
    <row r="695">
      <c r="A695" s="5"/>
      <c r="B695" s="2"/>
      <c r="C695" s="2" t="s">
        <v>646</v>
      </c>
      <c r="D695" s="2"/>
      <c r="E695" s="2"/>
      <c r="F695" s="2"/>
      <c r="G695" s="2"/>
      <c r="H695" s="2"/>
      <c r="I695" s="2"/>
    </row>
    <row r="696">
      <c r="A696" s="5"/>
      <c r="B696" s="2"/>
      <c r="C696" s="2" t="s">
        <v>646</v>
      </c>
      <c r="D696" s="2"/>
      <c r="E696" s="2"/>
      <c r="F696" s="2"/>
      <c r="G696" s="2"/>
      <c r="H696" s="2"/>
      <c r="I696" s="2"/>
    </row>
    <row r="697">
      <c r="A697" s="5"/>
      <c r="B697" s="2"/>
      <c r="C697" s="2" t="s">
        <v>646</v>
      </c>
      <c r="D697" s="2"/>
      <c r="E697" s="2"/>
      <c r="F697" s="2"/>
      <c r="G697" s="2"/>
      <c r="H697" s="2"/>
      <c r="I697" s="2"/>
    </row>
    <row r="698">
      <c r="A698" s="5"/>
      <c r="B698" s="2"/>
      <c r="C698" s="2" t="s">
        <v>646</v>
      </c>
      <c r="D698" s="2"/>
      <c r="E698" s="2"/>
      <c r="F698" s="2"/>
      <c r="G698" s="2"/>
      <c r="H698" s="2"/>
      <c r="I698" s="2"/>
    </row>
    <row r="699">
      <c r="A699" s="5"/>
      <c r="B699" s="2"/>
      <c r="C699" s="2" t="s">
        <v>646</v>
      </c>
      <c r="D699" s="2"/>
      <c r="E699" s="2"/>
      <c r="F699" s="2"/>
      <c r="G699" s="2"/>
      <c r="H699" s="2"/>
      <c r="I699" s="2"/>
    </row>
    <row r="700">
      <c r="A700" s="5"/>
      <c r="B700" s="2"/>
      <c r="C700" s="2" t="s">
        <v>646</v>
      </c>
      <c r="D700" s="2"/>
      <c r="E700" s="2"/>
      <c r="F700" s="2"/>
      <c r="G700" s="2"/>
      <c r="H700" s="2"/>
      <c r="I700" s="2"/>
    </row>
    <row r="701">
      <c r="A701" s="5"/>
      <c r="B701" s="2"/>
      <c r="C701" s="2" t="s">
        <v>646</v>
      </c>
      <c r="D701" s="2"/>
      <c r="E701" s="2"/>
      <c r="F701" s="2"/>
      <c r="G701" s="2"/>
      <c r="H701" s="2"/>
      <c r="I701" s="2"/>
    </row>
    <row r="702">
      <c r="A702" s="5"/>
      <c r="B702" s="2"/>
      <c r="C702" s="2" t="s">
        <v>646</v>
      </c>
      <c r="D702" s="2"/>
      <c r="E702" s="2"/>
      <c r="F702" s="2"/>
      <c r="G702" s="2"/>
      <c r="H702" s="2"/>
      <c r="I702" s="2"/>
    </row>
    <row r="703">
      <c r="A703" s="5"/>
      <c r="B703" s="2"/>
      <c r="C703" s="2" t="s">
        <v>646</v>
      </c>
      <c r="D703" s="2"/>
      <c r="E703" s="2"/>
      <c r="F703" s="2"/>
      <c r="G703" s="2"/>
      <c r="H703" s="2"/>
      <c r="I703" s="2"/>
    </row>
    <row r="704">
      <c r="A704" s="5"/>
      <c r="B704" s="2"/>
      <c r="C704" s="2" t="s">
        <v>646</v>
      </c>
      <c r="D704" s="2"/>
      <c r="E704" s="2"/>
      <c r="F704" s="2"/>
      <c r="G704" s="2"/>
      <c r="H704" s="2"/>
      <c r="I704" s="2"/>
    </row>
    <row r="705">
      <c r="A705" s="5"/>
      <c r="B705" s="2"/>
      <c r="C705" s="2" t="s">
        <v>646</v>
      </c>
      <c r="D705" s="2"/>
      <c r="E705" s="2"/>
      <c r="F705" s="2"/>
      <c r="G705" s="2"/>
      <c r="H705" s="2"/>
      <c r="I705" s="2"/>
    </row>
    <row r="706">
      <c r="A706" s="5"/>
      <c r="B706" s="2"/>
      <c r="C706" s="2" t="s">
        <v>646</v>
      </c>
      <c r="D706" s="2"/>
      <c r="E706" s="2"/>
      <c r="F706" s="2"/>
      <c r="G706" s="2"/>
      <c r="H706" s="2"/>
      <c r="I706" s="2"/>
    </row>
    <row r="707">
      <c r="A707" s="5"/>
      <c r="B707" s="2"/>
      <c r="C707" s="2" t="s">
        <v>646</v>
      </c>
      <c r="D707" s="2"/>
      <c r="E707" s="2"/>
      <c r="F707" s="2"/>
      <c r="G707" s="2"/>
      <c r="H707" s="2"/>
      <c r="I707" s="2"/>
    </row>
    <row r="708">
      <c r="A708" s="5"/>
      <c r="B708" s="2"/>
      <c r="C708" s="2" t="s">
        <v>646</v>
      </c>
      <c r="D708" s="2"/>
      <c r="E708" s="2"/>
      <c r="F708" s="2"/>
      <c r="G708" s="2"/>
      <c r="H708" s="2"/>
      <c r="I708" s="2"/>
    </row>
    <row r="709">
      <c r="A709" s="5"/>
      <c r="B709" s="2"/>
      <c r="C709" s="2" t="s">
        <v>646</v>
      </c>
      <c r="D709" s="2"/>
      <c r="E709" s="2"/>
      <c r="F709" s="2"/>
      <c r="G709" s="2"/>
      <c r="H709" s="2"/>
      <c r="I709" s="2"/>
    </row>
    <row r="710">
      <c r="A710" s="5"/>
      <c r="B710" s="2"/>
      <c r="C710" s="2" t="s">
        <v>646</v>
      </c>
      <c r="D710" s="2"/>
      <c r="E710" s="2"/>
      <c r="F710" s="2"/>
      <c r="G710" s="2"/>
      <c r="H710" s="2"/>
      <c r="I710" s="2"/>
    </row>
    <row r="711">
      <c r="A711" s="5"/>
      <c r="B711" s="2"/>
      <c r="C711" s="2" t="s">
        <v>646</v>
      </c>
      <c r="D711" s="2"/>
      <c r="E711" s="2"/>
      <c r="F711" s="2"/>
      <c r="G711" s="2"/>
      <c r="H711" s="2"/>
      <c r="I711" s="2"/>
    </row>
    <row r="712">
      <c r="A712" s="5"/>
      <c r="B712" s="2"/>
      <c r="C712" s="2" t="s">
        <v>646</v>
      </c>
      <c r="D712" s="2"/>
      <c r="E712" s="2"/>
      <c r="F712" s="2"/>
      <c r="G712" s="2"/>
      <c r="H712" s="2"/>
      <c r="I712" s="2"/>
    </row>
    <row r="713">
      <c r="A713" s="5"/>
      <c r="B713" s="2"/>
      <c r="C713" s="2" t="s">
        <v>646</v>
      </c>
      <c r="D713" s="2"/>
      <c r="E713" s="2"/>
      <c r="F713" s="2"/>
      <c r="G713" s="2"/>
      <c r="H713" s="2"/>
      <c r="I713" s="2"/>
    </row>
    <row r="714">
      <c r="A714" s="5"/>
      <c r="B714" s="2"/>
      <c r="C714" s="2" t="s">
        <v>646</v>
      </c>
      <c r="D714" s="2"/>
      <c r="E714" s="2"/>
      <c r="F714" s="2"/>
      <c r="G714" s="2"/>
      <c r="H714" s="2"/>
      <c r="I714" s="2"/>
    </row>
    <row r="715">
      <c r="A715" s="5"/>
      <c r="B715" s="2"/>
      <c r="C715" s="2" t="s">
        <v>646</v>
      </c>
      <c r="D715" s="2"/>
      <c r="E715" s="2"/>
      <c r="F715" s="2"/>
      <c r="G715" s="2"/>
      <c r="H715" s="2"/>
      <c r="I715" s="2"/>
    </row>
    <row r="716">
      <c r="A716" s="5"/>
      <c r="B716" s="2"/>
      <c r="C716" s="2" t="s">
        <v>646</v>
      </c>
      <c r="D716" s="2"/>
      <c r="E716" s="2"/>
      <c r="F716" s="2"/>
      <c r="G716" s="2"/>
      <c r="H716" s="2"/>
      <c r="I716" s="2"/>
    </row>
    <row r="717">
      <c r="A717" s="5"/>
      <c r="B717" s="2"/>
      <c r="C717" s="2" t="s">
        <v>646</v>
      </c>
      <c r="D717" s="2"/>
      <c r="E717" s="2"/>
      <c r="F717" s="2"/>
      <c r="G717" s="2"/>
      <c r="H717" s="2"/>
      <c r="I717" s="2"/>
    </row>
    <row r="718">
      <c r="A718" s="5"/>
      <c r="B718" s="2"/>
      <c r="C718" s="2" t="s">
        <v>646</v>
      </c>
      <c r="D718" s="2"/>
      <c r="E718" s="2"/>
      <c r="F718" s="2"/>
      <c r="G718" s="2"/>
      <c r="H718" s="2"/>
      <c r="I718" s="2"/>
    </row>
    <row r="719">
      <c r="A719" s="5"/>
      <c r="B719" s="2"/>
      <c r="C719" s="2" t="s">
        <v>646</v>
      </c>
      <c r="D719" s="2"/>
      <c r="E719" s="2"/>
      <c r="F719" s="2"/>
      <c r="G719" s="2"/>
      <c r="H719" s="2"/>
      <c r="I719" s="2"/>
    </row>
    <row r="720">
      <c r="A720" s="5"/>
      <c r="B720" s="2"/>
      <c r="C720" s="2" t="s">
        <v>646</v>
      </c>
      <c r="D720" s="2"/>
      <c r="E720" s="2"/>
      <c r="F720" s="2"/>
      <c r="G720" s="2"/>
      <c r="H720" s="2"/>
      <c r="I720" s="2"/>
    </row>
    <row r="721">
      <c r="A721" s="5"/>
      <c r="B721" s="2"/>
      <c r="C721" s="2" t="s">
        <v>646</v>
      </c>
      <c r="D721" s="2"/>
      <c r="E721" s="2"/>
      <c r="F721" s="2"/>
      <c r="G721" s="2"/>
      <c r="H721" s="2"/>
      <c r="I721" s="2"/>
    </row>
    <row r="722">
      <c r="A722" s="5"/>
      <c r="B722" s="2"/>
      <c r="C722" s="2" t="s">
        <v>646</v>
      </c>
      <c r="D722" s="2"/>
      <c r="E722" s="2"/>
      <c r="F722" s="2"/>
      <c r="G722" s="2"/>
      <c r="H722" s="2"/>
      <c r="I722" s="2"/>
    </row>
    <row r="723">
      <c r="A723" s="5"/>
      <c r="B723" s="2"/>
      <c r="C723" s="2" t="s">
        <v>646</v>
      </c>
      <c r="D723" s="2"/>
      <c r="E723" s="2"/>
      <c r="F723" s="2"/>
      <c r="G723" s="2"/>
      <c r="H723" s="2"/>
      <c r="I723" s="2"/>
    </row>
    <row r="724">
      <c r="A724" s="5"/>
      <c r="B724" s="2"/>
      <c r="C724" s="2" t="s">
        <v>646</v>
      </c>
      <c r="D724" s="2"/>
      <c r="E724" s="2"/>
      <c r="F724" s="2"/>
      <c r="G724" s="2"/>
      <c r="H724" s="2"/>
      <c r="I724" s="2"/>
    </row>
    <row r="725">
      <c r="A725" s="5"/>
      <c r="B725" s="2"/>
      <c r="C725" s="2" t="s">
        <v>646</v>
      </c>
      <c r="D725" s="2"/>
      <c r="E725" s="2"/>
      <c r="F725" s="2"/>
      <c r="G725" s="2"/>
      <c r="H725" s="2"/>
      <c r="I725" s="2"/>
    </row>
    <row r="726">
      <c r="A726" s="5"/>
      <c r="B726" s="2"/>
      <c r="C726" s="2" t="s">
        <v>646</v>
      </c>
      <c r="D726" s="2"/>
      <c r="E726" s="2"/>
      <c r="F726" s="2"/>
      <c r="G726" s="2"/>
      <c r="H726" s="2"/>
      <c r="I726" s="2"/>
    </row>
    <row r="727">
      <c r="A727" s="5"/>
      <c r="B727" s="2"/>
      <c r="C727" s="2" t="s">
        <v>646</v>
      </c>
      <c r="D727" s="2"/>
      <c r="E727" s="2"/>
      <c r="F727" s="2"/>
      <c r="G727" s="2"/>
      <c r="H727" s="2"/>
      <c r="I727" s="2"/>
    </row>
    <row r="728">
      <c r="A728" s="5"/>
      <c r="B728" s="2"/>
      <c r="C728" s="2" t="s">
        <v>646</v>
      </c>
      <c r="D728" s="2"/>
      <c r="E728" s="2"/>
      <c r="F728" s="2"/>
      <c r="G728" s="2"/>
      <c r="H728" s="2"/>
      <c r="I728" s="2"/>
    </row>
    <row r="729">
      <c r="A729" s="5"/>
      <c r="B729" s="2"/>
      <c r="C729" s="2" t="s">
        <v>646</v>
      </c>
      <c r="D729" s="2"/>
      <c r="E729" s="2"/>
      <c r="F729" s="2"/>
      <c r="G729" s="2"/>
      <c r="H729" s="2"/>
      <c r="I729" s="2"/>
    </row>
    <row r="730">
      <c r="A730" s="5"/>
      <c r="B730" s="2"/>
      <c r="C730" s="2" t="s">
        <v>646</v>
      </c>
      <c r="D730" s="2"/>
      <c r="E730" s="2"/>
      <c r="F730" s="2"/>
      <c r="G730" s="2"/>
      <c r="H730" s="2"/>
      <c r="I730" s="2"/>
    </row>
    <row r="731">
      <c r="A731" s="5"/>
      <c r="B731" s="2"/>
      <c r="C731" s="2" t="s">
        <v>646</v>
      </c>
      <c r="D731" s="2"/>
      <c r="E731" s="2"/>
      <c r="F731" s="2"/>
      <c r="G731" s="2"/>
      <c r="H731" s="2"/>
      <c r="I731" s="2"/>
    </row>
    <row r="732">
      <c r="A732" s="5"/>
      <c r="B732" s="2"/>
      <c r="C732" s="2" t="s">
        <v>646</v>
      </c>
      <c r="D732" s="2"/>
      <c r="E732" s="2"/>
      <c r="F732" s="2"/>
      <c r="G732" s="2"/>
      <c r="H732" s="2"/>
      <c r="I732" s="2"/>
    </row>
    <row r="733">
      <c r="A733" s="5"/>
      <c r="B733" s="2"/>
      <c r="C733" s="2" t="s">
        <v>646</v>
      </c>
      <c r="D733" s="2"/>
      <c r="E733" s="2"/>
      <c r="F733" s="2"/>
      <c r="G733" s="2"/>
      <c r="H733" s="2"/>
      <c r="I733" s="2"/>
    </row>
    <row r="734">
      <c r="A734" s="5"/>
      <c r="B734" s="2"/>
      <c r="C734" s="2" t="s">
        <v>646</v>
      </c>
      <c r="D734" s="2"/>
      <c r="E734" s="2"/>
      <c r="F734" s="2"/>
      <c r="G734" s="2"/>
      <c r="H734" s="2"/>
      <c r="I734" s="2"/>
    </row>
    <row r="735">
      <c r="A735" s="5"/>
      <c r="B735" s="2"/>
      <c r="C735" s="2" t="s">
        <v>646</v>
      </c>
      <c r="D735" s="2"/>
      <c r="E735" s="2"/>
      <c r="F735" s="2"/>
      <c r="G735" s="2"/>
      <c r="H735" s="2"/>
      <c r="I735" s="2"/>
    </row>
    <row r="736">
      <c r="A736" s="5"/>
      <c r="B736" s="2"/>
      <c r="C736" s="2" t="s">
        <v>646</v>
      </c>
      <c r="D736" s="2"/>
      <c r="E736" s="2"/>
      <c r="F736" s="2"/>
      <c r="G736" s="2"/>
      <c r="H736" s="2"/>
      <c r="I736" s="2"/>
    </row>
    <row r="737">
      <c r="A737" s="5"/>
      <c r="B737" s="2"/>
      <c r="C737" s="2" t="s">
        <v>646</v>
      </c>
      <c r="D737" s="2"/>
      <c r="E737" s="2"/>
      <c r="F737" s="2"/>
      <c r="G737" s="2"/>
      <c r="H737" s="2"/>
      <c r="I737" s="2"/>
    </row>
    <row r="738">
      <c r="A738" s="5"/>
      <c r="B738" s="2"/>
      <c r="C738" s="2" t="s">
        <v>646</v>
      </c>
      <c r="D738" s="2"/>
      <c r="E738" s="2"/>
      <c r="F738" s="2"/>
      <c r="G738" s="2"/>
      <c r="H738" s="2"/>
      <c r="I738" s="2"/>
    </row>
    <row r="739">
      <c r="A739" s="5"/>
      <c r="B739" s="2"/>
      <c r="C739" s="2" t="s">
        <v>646</v>
      </c>
      <c r="D739" s="2"/>
      <c r="E739" s="2"/>
      <c r="F739" s="2"/>
      <c r="G739" s="2"/>
      <c r="H739" s="2"/>
      <c r="I739" s="2"/>
    </row>
    <row r="740">
      <c r="A740" s="5"/>
      <c r="B740" s="2"/>
      <c r="C740" s="2" t="s">
        <v>646</v>
      </c>
      <c r="D740" s="2"/>
      <c r="E740" s="2"/>
      <c r="F740" s="2"/>
      <c r="G740" s="2"/>
      <c r="H740" s="2"/>
      <c r="I740" s="2"/>
    </row>
    <row r="741">
      <c r="A741" s="5"/>
      <c r="B741" s="2"/>
      <c r="C741" s="2" t="s">
        <v>646</v>
      </c>
      <c r="D741" s="2"/>
      <c r="E741" s="2"/>
      <c r="F741" s="2"/>
      <c r="G741" s="2"/>
      <c r="H741" s="2"/>
      <c r="I741" s="2"/>
    </row>
    <row r="742">
      <c r="A742" s="5"/>
      <c r="B742" s="2"/>
      <c r="C742" s="2" t="s">
        <v>646</v>
      </c>
      <c r="D742" s="2"/>
      <c r="E742" s="2"/>
      <c r="F742" s="2"/>
      <c r="G742" s="2"/>
      <c r="H742" s="2"/>
      <c r="I742" s="2"/>
    </row>
    <row r="743">
      <c r="A743" s="5"/>
      <c r="B743" s="2"/>
      <c r="C743" s="2" t="s">
        <v>646</v>
      </c>
      <c r="D743" s="2"/>
      <c r="E743" s="2"/>
      <c r="F743" s="2"/>
      <c r="G743" s="2"/>
      <c r="H743" s="2"/>
      <c r="I743" s="2"/>
    </row>
    <row r="744">
      <c r="A744" s="5"/>
      <c r="B744" s="2"/>
      <c r="C744" s="2" t="s">
        <v>646</v>
      </c>
      <c r="D744" s="2"/>
      <c r="E744" s="2"/>
      <c r="F744" s="2"/>
      <c r="G744" s="2"/>
      <c r="H744" s="2"/>
      <c r="I744" s="2"/>
    </row>
    <row r="745">
      <c r="A745" s="5"/>
      <c r="B745" s="2"/>
      <c r="C745" s="2" t="s">
        <v>646</v>
      </c>
      <c r="D745" s="2"/>
      <c r="E745" s="2"/>
      <c r="F745" s="2"/>
      <c r="G745" s="2"/>
      <c r="H745" s="2"/>
      <c r="I745" s="2"/>
    </row>
    <row r="746">
      <c r="A746" s="5"/>
      <c r="B746" s="2"/>
      <c r="C746" s="2" t="s">
        <v>646</v>
      </c>
      <c r="D746" s="2"/>
      <c r="E746" s="2"/>
      <c r="F746" s="2"/>
      <c r="G746" s="2"/>
      <c r="H746" s="2"/>
      <c r="I746" s="2"/>
    </row>
    <row r="747">
      <c r="A747" s="5"/>
      <c r="B747" s="2"/>
      <c r="C747" s="2" t="s">
        <v>646</v>
      </c>
      <c r="D747" s="2"/>
      <c r="E747" s="2"/>
      <c r="F747" s="2"/>
      <c r="G747" s="2"/>
      <c r="H747" s="2"/>
      <c r="I747" s="2"/>
    </row>
    <row r="748">
      <c r="A748" s="5"/>
      <c r="B748" s="2"/>
      <c r="C748" s="2" t="s">
        <v>646</v>
      </c>
      <c r="D748" s="2"/>
      <c r="E748" s="2"/>
      <c r="F748" s="2"/>
      <c r="G748" s="2"/>
      <c r="H748" s="2"/>
      <c r="I748" s="2"/>
    </row>
    <row r="749">
      <c r="A749" s="5"/>
      <c r="B749" s="2"/>
      <c r="C749" s="2" t="s">
        <v>646</v>
      </c>
      <c r="D749" s="2"/>
      <c r="E749" s="2"/>
      <c r="F749" s="2"/>
      <c r="G749" s="2"/>
      <c r="H749" s="2"/>
      <c r="I749" s="2"/>
    </row>
    <row r="750">
      <c r="A750" s="5"/>
      <c r="B750" s="2"/>
      <c r="C750" s="2" t="s">
        <v>646</v>
      </c>
      <c r="D750" s="2"/>
      <c r="E750" s="2"/>
      <c r="F750" s="2"/>
      <c r="G750" s="2"/>
      <c r="H750" s="2"/>
      <c r="I750" s="2"/>
    </row>
    <row r="751">
      <c r="A751" s="5"/>
      <c r="B751" s="2"/>
      <c r="C751" s="2" t="s">
        <v>646</v>
      </c>
      <c r="D751" s="2"/>
      <c r="E751" s="2"/>
      <c r="F751" s="2"/>
      <c r="G751" s="2"/>
      <c r="H751" s="2"/>
      <c r="I751" s="2"/>
    </row>
    <row r="752">
      <c r="A752" s="5"/>
      <c r="B752" s="2"/>
      <c r="C752" s="2" t="s">
        <v>646</v>
      </c>
      <c r="D752" s="2"/>
      <c r="E752" s="2"/>
      <c r="F752" s="2"/>
      <c r="G752" s="2"/>
      <c r="H752" s="2"/>
      <c r="I752" s="2"/>
    </row>
    <row r="753">
      <c r="A753" s="5"/>
      <c r="B753" s="2"/>
      <c r="C753" s="2" t="s">
        <v>646</v>
      </c>
      <c r="D753" s="2"/>
      <c r="E753" s="2"/>
      <c r="F753" s="2"/>
      <c r="G753" s="2"/>
      <c r="H753" s="2"/>
      <c r="I753" s="2"/>
    </row>
    <row r="754">
      <c r="A754" s="5"/>
      <c r="B754" s="2"/>
      <c r="C754" s="2" t="s">
        <v>646</v>
      </c>
      <c r="D754" s="2"/>
      <c r="E754" s="2"/>
      <c r="F754" s="2"/>
      <c r="G754" s="2"/>
      <c r="H754" s="2"/>
      <c r="I754" s="2"/>
    </row>
    <row r="755">
      <c r="A755" s="5"/>
      <c r="B755" s="2"/>
      <c r="C755" s="2" t="s">
        <v>646</v>
      </c>
      <c r="D755" s="2"/>
      <c r="E755" s="2"/>
      <c r="F755" s="2"/>
      <c r="G755" s="2"/>
      <c r="H755" s="2"/>
      <c r="I755" s="2"/>
    </row>
    <row r="756">
      <c r="A756" s="5"/>
      <c r="B756" s="2"/>
      <c r="C756" s="2" t="s">
        <v>646</v>
      </c>
      <c r="D756" s="2"/>
      <c r="E756" s="2"/>
      <c r="F756" s="2"/>
      <c r="G756" s="2"/>
      <c r="H756" s="2"/>
      <c r="I756" s="2"/>
    </row>
    <row r="757">
      <c r="A757" s="5"/>
      <c r="B757" s="2"/>
      <c r="C757" s="2" t="s">
        <v>646</v>
      </c>
      <c r="D757" s="2"/>
      <c r="E757" s="2"/>
      <c r="F757" s="2"/>
      <c r="G757" s="2"/>
      <c r="H757" s="2"/>
      <c r="I757" s="2"/>
    </row>
    <row r="758">
      <c r="A758" s="5"/>
      <c r="B758" s="2"/>
      <c r="C758" s="2" t="s">
        <v>646</v>
      </c>
      <c r="D758" s="2"/>
      <c r="E758" s="2"/>
      <c r="F758" s="2"/>
      <c r="G758" s="2"/>
      <c r="H758" s="2"/>
      <c r="I758" s="2"/>
    </row>
    <row r="759">
      <c r="A759" s="5"/>
      <c r="B759" s="2"/>
      <c r="C759" s="2" t="s">
        <v>646</v>
      </c>
      <c r="D759" s="2"/>
      <c r="E759" s="2"/>
      <c r="F759" s="2"/>
      <c r="G759" s="2"/>
      <c r="H759" s="2"/>
      <c r="I759" s="2"/>
    </row>
    <row r="760">
      <c r="A760" s="5"/>
      <c r="B760" s="2"/>
      <c r="C760" s="2" t="s">
        <v>646</v>
      </c>
      <c r="D760" s="2"/>
      <c r="E760" s="2"/>
      <c r="F760" s="2"/>
      <c r="G760" s="2"/>
      <c r="H760" s="2"/>
      <c r="I760" s="2"/>
    </row>
    <row r="761">
      <c r="A761" s="5"/>
      <c r="B761" s="2"/>
      <c r="C761" s="2" t="s">
        <v>646</v>
      </c>
      <c r="D761" s="2"/>
      <c r="E761" s="2"/>
      <c r="F761" s="2"/>
      <c r="G761" s="2"/>
      <c r="H761" s="2"/>
      <c r="I761" s="2"/>
    </row>
    <row r="762">
      <c r="A762" s="5"/>
      <c r="B762" s="2"/>
      <c r="C762" s="2" t="s">
        <v>646</v>
      </c>
      <c r="D762" s="2"/>
      <c r="E762" s="2"/>
      <c r="F762" s="2"/>
      <c r="G762" s="2"/>
      <c r="H762" s="2"/>
      <c r="I762" s="2"/>
    </row>
    <row r="763">
      <c r="A763" s="5"/>
      <c r="B763" s="2"/>
      <c r="C763" s="2" t="s">
        <v>646</v>
      </c>
      <c r="D763" s="2"/>
      <c r="E763" s="2"/>
      <c r="F763" s="2"/>
      <c r="G763" s="2"/>
      <c r="H763" s="2"/>
      <c r="I763" s="2"/>
    </row>
    <row r="764">
      <c r="A764" s="5"/>
      <c r="B764" s="2"/>
      <c r="C764" s="2" t="s">
        <v>646</v>
      </c>
      <c r="D764" s="2"/>
      <c r="E764" s="2"/>
      <c r="F764" s="2"/>
      <c r="G764" s="2"/>
      <c r="H764" s="2"/>
      <c r="I764" s="2"/>
    </row>
    <row r="765">
      <c r="A765" s="5"/>
      <c r="B765" s="2"/>
      <c r="C765" s="2" t="s">
        <v>646</v>
      </c>
      <c r="D765" s="2"/>
      <c r="E765" s="2"/>
      <c r="F765" s="2"/>
      <c r="G765" s="2"/>
      <c r="H765" s="2"/>
      <c r="I765" s="2"/>
    </row>
    <row r="766">
      <c r="A766" s="5"/>
      <c r="B766" s="2"/>
      <c r="C766" s="2" t="s">
        <v>646</v>
      </c>
      <c r="D766" s="2"/>
      <c r="E766" s="2"/>
      <c r="F766" s="2"/>
      <c r="G766" s="2"/>
      <c r="H766" s="2"/>
      <c r="I766" s="2"/>
    </row>
    <row r="767">
      <c r="A767" s="5"/>
      <c r="B767" s="2"/>
      <c r="C767" s="2" t="s">
        <v>646</v>
      </c>
      <c r="D767" s="2"/>
      <c r="E767" s="2"/>
      <c r="F767" s="2"/>
      <c r="G767" s="2"/>
      <c r="H767" s="2"/>
      <c r="I767" s="2"/>
    </row>
    <row r="768">
      <c r="A768" s="5"/>
      <c r="B768" s="2"/>
      <c r="C768" s="2" t="s">
        <v>646</v>
      </c>
      <c r="D768" s="2"/>
      <c r="E768" s="2"/>
      <c r="F768" s="2"/>
      <c r="G768" s="2"/>
      <c r="H768" s="2"/>
      <c r="I768" s="2"/>
    </row>
    <row r="769">
      <c r="A769" s="5"/>
      <c r="B769" s="2"/>
      <c r="C769" s="2" t="s">
        <v>646</v>
      </c>
      <c r="D769" s="2"/>
      <c r="E769" s="2"/>
      <c r="F769" s="2"/>
      <c r="G769" s="2"/>
      <c r="H769" s="2"/>
      <c r="I769" s="2"/>
    </row>
    <row r="770">
      <c r="A770" s="5"/>
      <c r="B770" s="2"/>
      <c r="C770" s="2" t="s">
        <v>646</v>
      </c>
      <c r="D770" s="2"/>
      <c r="E770" s="2"/>
      <c r="F770" s="2"/>
      <c r="G770" s="2"/>
      <c r="H770" s="2"/>
      <c r="I770" s="2"/>
    </row>
    <row r="771">
      <c r="A771" s="5"/>
      <c r="B771" s="2"/>
      <c r="C771" s="2" t="s">
        <v>646</v>
      </c>
      <c r="D771" s="2"/>
      <c r="E771" s="2"/>
      <c r="F771" s="2"/>
      <c r="G771" s="2"/>
      <c r="H771" s="2"/>
      <c r="I771" s="2"/>
    </row>
    <row r="772">
      <c r="A772" s="5"/>
      <c r="B772" s="2"/>
      <c r="C772" s="2" t="s">
        <v>646</v>
      </c>
      <c r="D772" s="2"/>
      <c r="E772" s="2"/>
      <c r="F772" s="2"/>
      <c r="G772" s="2"/>
      <c r="H772" s="2"/>
      <c r="I772" s="2"/>
    </row>
    <row r="773">
      <c r="A773" s="5"/>
      <c r="B773" s="2"/>
      <c r="C773" s="2" t="s">
        <v>646</v>
      </c>
      <c r="D773" s="2"/>
      <c r="E773" s="2"/>
      <c r="F773" s="2"/>
      <c r="G773" s="2"/>
      <c r="H773" s="2"/>
      <c r="I773" s="2"/>
    </row>
    <row r="774">
      <c r="A774" s="5"/>
      <c r="B774" s="2"/>
      <c r="C774" s="2" t="s">
        <v>646</v>
      </c>
      <c r="D774" s="2"/>
      <c r="E774" s="2"/>
      <c r="F774" s="2"/>
      <c r="G774" s="2"/>
      <c r="H774" s="2"/>
      <c r="I774" s="2"/>
    </row>
    <row r="775">
      <c r="A775" s="5"/>
      <c r="B775" s="2"/>
      <c r="C775" s="2" t="s">
        <v>646</v>
      </c>
      <c r="D775" s="2"/>
      <c r="E775" s="2"/>
      <c r="F775" s="2"/>
      <c r="G775" s="2"/>
      <c r="H775" s="2"/>
      <c r="I775" s="2"/>
    </row>
    <row r="776">
      <c r="A776" s="5"/>
      <c r="B776" s="2"/>
      <c r="C776" s="2" t="s">
        <v>646</v>
      </c>
      <c r="D776" s="2"/>
      <c r="E776" s="2"/>
      <c r="F776" s="2"/>
      <c r="G776" s="2"/>
      <c r="H776" s="2"/>
      <c r="I776" s="2"/>
    </row>
    <row r="777">
      <c r="A777" s="5"/>
      <c r="B777" s="2"/>
      <c r="C777" s="2" t="s">
        <v>646</v>
      </c>
      <c r="D777" s="2"/>
      <c r="E777" s="2"/>
      <c r="F777" s="2"/>
      <c r="G777" s="2"/>
      <c r="H777" s="2"/>
      <c r="I777" s="2"/>
    </row>
    <row r="778">
      <c r="A778" s="5"/>
      <c r="B778" s="2"/>
      <c r="C778" s="2" t="s">
        <v>646</v>
      </c>
      <c r="D778" s="2"/>
      <c r="E778" s="2"/>
      <c r="F778" s="2"/>
      <c r="G778" s="2"/>
      <c r="H778" s="2"/>
      <c r="I778" s="2"/>
    </row>
    <row r="779">
      <c r="A779" s="5"/>
      <c r="B779" s="2"/>
      <c r="C779" s="2" t="s">
        <v>646</v>
      </c>
      <c r="D779" s="2"/>
      <c r="E779" s="2"/>
      <c r="F779" s="2"/>
      <c r="G779" s="2"/>
      <c r="H779" s="2"/>
      <c r="I779" s="2"/>
    </row>
    <row r="780">
      <c r="A780" s="5"/>
      <c r="B780" s="2"/>
      <c r="C780" s="2" t="s">
        <v>646</v>
      </c>
      <c r="D780" s="2"/>
      <c r="E780" s="2"/>
      <c r="F780" s="2"/>
      <c r="G780" s="2"/>
      <c r="H780" s="2"/>
      <c r="I780" s="2"/>
    </row>
    <row r="781">
      <c r="A781" s="5"/>
      <c r="B781" s="2"/>
      <c r="C781" s="2" t="s">
        <v>646</v>
      </c>
      <c r="D781" s="2"/>
      <c r="E781" s="2"/>
      <c r="F781" s="2"/>
      <c r="G781" s="2"/>
      <c r="H781" s="2"/>
      <c r="I781" s="2"/>
    </row>
    <row r="782">
      <c r="A782" s="5"/>
      <c r="B782" s="2"/>
      <c r="C782" s="2" t="s">
        <v>646</v>
      </c>
      <c r="D782" s="2"/>
      <c r="E782" s="2"/>
      <c r="F782" s="2"/>
      <c r="G782" s="2"/>
      <c r="H782" s="2"/>
      <c r="I782" s="2"/>
    </row>
    <row r="783">
      <c r="A783" s="5"/>
      <c r="B783" s="2"/>
      <c r="C783" s="2" t="s">
        <v>646</v>
      </c>
      <c r="D783" s="2"/>
      <c r="E783" s="2"/>
      <c r="F783" s="2"/>
      <c r="G783" s="2"/>
      <c r="H783" s="2"/>
      <c r="I783" s="2"/>
    </row>
    <row r="784">
      <c r="A784" s="5"/>
      <c r="B784" s="2"/>
      <c r="C784" s="2" t="s">
        <v>646</v>
      </c>
      <c r="D784" s="2"/>
      <c r="E784" s="2"/>
      <c r="F784" s="2"/>
      <c r="G784" s="2"/>
      <c r="H784" s="2"/>
      <c r="I784" s="2"/>
    </row>
    <row r="785">
      <c r="A785" s="5"/>
      <c r="B785" s="2"/>
      <c r="C785" s="2" t="s">
        <v>646</v>
      </c>
      <c r="D785" s="2"/>
      <c r="E785" s="2"/>
      <c r="F785" s="2"/>
      <c r="G785" s="2"/>
      <c r="H785" s="2"/>
      <c r="I785" s="2"/>
    </row>
    <row r="786">
      <c r="A786" s="5"/>
      <c r="B786" s="2"/>
      <c r="C786" s="2" t="s">
        <v>646</v>
      </c>
      <c r="D786" s="2"/>
      <c r="E786" s="2"/>
      <c r="F786" s="2"/>
      <c r="G786" s="2"/>
      <c r="H786" s="2"/>
      <c r="I786" s="2"/>
    </row>
    <row r="787">
      <c r="A787" s="5"/>
      <c r="B787" s="2"/>
      <c r="C787" s="2" t="s">
        <v>646</v>
      </c>
      <c r="D787" s="2"/>
      <c r="E787" s="2"/>
      <c r="F787" s="2"/>
      <c r="G787" s="2"/>
      <c r="H787" s="2"/>
      <c r="I787" s="2"/>
    </row>
    <row r="788">
      <c r="A788" s="5"/>
      <c r="B788" s="2"/>
      <c r="C788" s="2" t="s">
        <v>646</v>
      </c>
      <c r="D788" s="2"/>
      <c r="E788" s="2"/>
      <c r="F788" s="2"/>
      <c r="G788" s="2"/>
      <c r="H788" s="2"/>
      <c r="I788" s="2"/>
    </row>
    <row r="789">
      <c r="A789" s="5"/>
      <c r="B789" s="2"/>
      <c r="C789" s="2" t="s">
        <v>646</v>
      </c>
      <c r="D789" s="2"/>
      <c r="E789" s="2"/>
      <c r="F789" s="2"/>
      <c r="G789" s="2"/>
      <c r="H789" s="2"/>
      <c r="I789" s="2"/>
    </row>
    <row r="790">
      <c r="A790" s="5"/>
      <c r="B790" s="2"/>
      <c r="C790" s="2" t="s">
        <v>646</v>
      </c>
      <c r="D790" s="2"/>
      <c r="E790" s="2"/>
      <c r="F790" s="2"/>
      <c r="G790" s="2"/>
      <c r="H790" s="2"/>
      <c r="I790" s="2"/>
    </row>
    <row r="791">
      <c r="A791" s="5"/>
      <c r="B791" s="2"/>
      <c r="C791" s="2" t="s">
        <v>646</v>
      </c>
      <c r="D791" s="2"/>
      <c r="E791" s="2"/>
      <c r="F791" s="2"/>
      <c r="G791" s="2"/>
      <c r="H791" s="2"/>
      <c r="I791" s="2"/>
    </row>
    <row r="792">
      <c r="A792" s="5"/>
      <c r="B792" s="2"/>
      <c r="C792" s="2" t="s">
        <v>646</v>
      </c>
      <c r="D792" s="2"/>
      <c r="E792" s="2"/>
      <c r="F792" s="2"/>
      <c r="G792" s="2"/>
      <c r="H792" s="2"/>
      <c r="I792" s="2"/>
    </row>
    <row r="793">
      <c r="A793" s="5"/>
      <c r="B793" s="2"/>
      <c r="C793" s="2" t="s">
        <v>646</v>
      </c>
      <c r="D793" s="2"/>
      <c r="E793" s="2"/>
      <c r="F793" s="2"/>
      <c r="G793" s="2"/>
      <c r="H793" s="2"/>
      <c r="I793" s="2"/>
    </row>
    <row r="794">
      <c r="A794" s="5"/>
      <c r="B794" s="2"/>
      <c r="C794" s="2" t="s">
        <v>646</v>
      </c>
      <c r="D794" s="2"/>
      <c r="E794" s="2"/>
      <c r="F794" s="2"/>
      <c r="G794" s="2"/>
      <c r="H794" s="2"/>
      <c r="I794" s="2"/>
    </row>
    <row r="795">
      <c r="A795" s="5"/>
      <c r="B795" s="2"/>
      <c r="C795" s="2" t="s">
        <v>646</v>
      </c>
      <c r="D795" s="2"/>
      <c r="E795" s="2"/>
      <c r="F795" s="2"/>
      <c r="G795" s="2"/>
      <c r="H795" s="2"/>
      <c r="I795" s="2"/>
    </row>
    <row r="796">
      <c r="A796" s="5"/>
      <c r="B796" s="2"/>
      <c r="C796" s="2" t="s">
        <v>646</v>
      </c>
      <c r="D796" s="2"/>
      <c r="E796" s="2"/>
      <c r="F796" s="2"/>
      <c r="G796" s="2"/>
      <c r="H796" s="2"/>
      <c r="I796" s="2"/>
    </row>
    <row r="797">
      <c r="A797" s="5"/>
      <c r="B797" s="2"/>
      <c r="C797" s="2" t="s">
        <v>646</v>
      </c>
      <c r="D797" s="2"/>
      <c r="E797" s="2"/>
      <c r="F797" s="2"/>
      <c r="G797" s="2"/>
      <c r="H797" s="2"/>
      <c r="I797" s="2"/>
    </row>
    <row r="798">
      <c r="A798" s="5"/>
      <c r="B798" s="2"/>
      <c r="C798" s="2" t="s">
        <v>646</v>
      </c>
      <c r="D798" s="2"/>
      <c r="E798" s="2"/>
      <c r="F798" s="2"/>
      <c r="G798" s="2"/>
      <c r="H798" s="2"/>
      <c r="I798" s="2"/>
    </row>
    <row r="799">
      <c r="A799" s="5"/>
      <c r="B799" s="2"/>
      <c r="C799" s="2" t="s">
        <v>646</v>
      </c>
      <c r="D799" s="2"/>
      <c r="E799" s="2"/>
      <c r="F799" s="2"/>
      <c r="G799" s="2"/>
      <c r="H799" s="2"/>
      <c r="I799" s="2"/>
    </row>
    <row r="800">
      <c r="A800" s="5"/>
      <c r="B800" s="2"/>
      <c r="C800" s="2" t="s">
        <v>646</v>
      </c>
      <c r="D800" s="2"/>
      <c r="E800" s="2"/>
      <c r="F800" s="2"/>
      <c r="G800" s="2"/>
      <c r="H800" s="2"/>
      <c r="I800" s="2"/>
    </row>
    <row r="801">
      <c r="A801" s="5"/>
      <c r="B801" s="2"/>
      <c r="C801" s="2" t="s">
        <v>646</v>
      </c>
      <c r="D801" s="2"/>
      <c r="E801" s="2"/>
      <c r="F801" s="2"/>
      <c r="G801" s="2"/>
      <c r="H801" s="2"/>
      <c r="I801" s="2"/>
    </row>
    <row r="802">
      <c r="A802" s="5"/>
      <c r="B802" s="2"/>
      <c r="C802" s="2" t="s">
        <v>646</v>
      </c>
      <c r="D802" s="2"/>
      <c r="E802" s="2"/>
      <c r="F802" s="2"/>
      <c r="G802" s="2"/>
      <c r="H802" s="2"/>
      <c r="I802" s="2"/>
    </row>
    <row r="803">
      <c r="A803" s="5"/>
      <c r="B803" s="2"/>
      <c r="C803" s="2" t="s">
        <v>646</v>
      </c>
      <c r="D803" s="2"/>
      <c r="E803" s="2"/>
      <c r="F803" s="2"/>
      <c r="G803" s="2"/>
      <c r="H803" s="2"/>
      <c r="I803" s="2"/>
    </row>
    <row r="804">
      <c r="A804" s="5"/>
      <c r="B804" s="2"/>
      <c r="C804" s="2" t="s">
        <v>646</v>
      </c>
      <c r="D804" s="2"/>
      <c r="E804" s="2"/>
      <c r="F804" s="2"/>
      <c r="G804" s="2"/>
      <c r="H804" s="2"/>
      <c r="I804" s="2"/>
    </row>
    <row r="805">
      <c r="A805" s="5"/>
      <c r="B805" s="2"/>
      <c r="C805" s="2" t="s">
        <v>646</v>
      </c>
      <c r="D805" s="2"/>
      <c r="E805" s="2"/>
      <c r="F805" s="2"/>
      <c r="G805" s="2"/>
      <c r="H805" s="2"/>
      <c r="I805" s="2"/>
    </row>
    <row r="806">
      <c r="A806" s="5"/>
      <c r="B806" s="2"/>
      <c r="C806" s="2" t="s">
        <v>646</v>
      </c>
      <c r="D806" s="2"/>
      <c r="E806" s="2"/>
      <c r="F806" s="2"/>
      <c r="G806" s="2"/>
      <c r="H806" s="2"/>
      <c r="I806" s="2"/>
    </row>
    <row r="807">
      <c r="A807" s="5"/>
      <c r="B807" s="2"/>
      <c r="C807" s="2" t="s">
        <v>646</v>
      </c>
      <c r="D807" s="2"/>
      <c r="E807" s="2"/>
      <c r="F807" s="2"/>
      <c r="G807" s="2"/>
      <c r="H807" s="2"/>
      <c r="I807" s="2"/>
    </row>
    <row r="808">
      <c r="A808" s="5"/>
      <c r="B808" s="2"/>
      <c r="C808" s="2" t="s">
        <v>646</v>
      </c>
      <c r="D808" s="2"/>
      <c r="E808" s="2"/>
      <c r="F808" s="2"/>
      <c r="G808" s="2"/>
      <c r="H808" s="2"/>
      <c r="I808" s="2"/>
    </row>
    <row r="809">
      <c r="A809" s="5"/>
      <c r="B809" s="2"/>
      <c r="C809" s="2" t="s">
        <v>646</v>
      </c>
      <c r="D809" s="2"/>
      <c r="E809" s="2"/>
      <c r="F809" s="2"/>
      <c r="G809" s="2"/>
      <c r="H809" s="2"/>
      <c r="I809" s="2"/>
    </row>
    <row r="810">
      <c r="A810" s="5"/>
      <c r="B810" s="2"/>
      <c r="C810" s="2" t="s">
        <v>646</v>
      </c>
      <c r="D810" s="2"/>
      <c r="E810" s="2"/>
      <c r="F810" s="2"/>
      <c r="G810" s="2"/>
      <c r="H810" s="2"/>
      <c r="I810" s="2"/>
    </row>
    <row r="811">
      <c r="A811" s="5"/>
      <c r="B811" s="2"/>
      <c r="C811" s="2" t="s">
        <v>646</v>
      </c>
      <c r="D811" s="2"/>
      <c r="E811" s="2"/>
      <c r="F811" s="2"/>
      <c r="G811" s="2"/>
      <c r="H811" s="2"/>
      <c r="I811" s="2"/>
    </row>
    <row r="812">
      <c r="A812" s="5"/>
      <c r="B812" s="2"/>
      <c r="C812" s="2" t="s">
        <v>646</v>
      </c>
      <c r="D812" s="2"/>
      <c r="E812" s="2"/>
      <c r="F812" s="2"/>
      <c r="G812" s="2"/>
      <c r="H812" s="2"/>
      <c r="I812" s="2"/>
    </row>
    <row r="813">
      <c r="A813" s="5"/>
      <c r="B813" s="2"/>
      <c r="C813" s="2" t="s">
        <v>646</v>
      </c>
      <c r="D813" s="2"/>
      <c r="E813" s="2"/>
      <c r="F813" s="2"/>
      <c r="G813" s="2"/>
      <c r="H813" s="2"/>
      <c r="I813" s="2"/>
    </row>
    <row r="814">
      <c r="A814" s="5"/>
      <c r="B814" s="2"/>
      <c r="C814" s="2" t="s">
        <v>646</v>
      </c>
      <c r="D814" s="2"/>
      <c r="E814" s="2"/>
      <c r="F814" s="2"/>
      <c r="G814" s="2"/>
      <c r="H814" s="2"/>
      <c r="I814" s="2"/>
    </row>
    <row r="815">
      <c r="A815" s="5"/>
      <c r="B815" s="2"/>
      <c r="C815" s="2" t="s">
        <v>646</v>
      </c>
      <c r="D815" s="2"/>
      <c r="E815" s="2"/>
      <c r="F815" s="2"/>
      <c r="G815" s="2"/>
      <c r="H815" s="2"/>
      <c r="I815" s="2"/>
    </row>
    <row r="816">
      <c r="A816" s="5"/>
      <c r="B816" s="2"/>
      <c r="C816" s="2" t="s">
        <v>646</v>
      </c>
      <c r="D816" s="2"/>
      <c r="E816" s="2"/>
      <c r="F816" s="2"/>
      <c r="G816" s="2"/>
      <c r="H816" s="2"/>
      <c r="I816" s="2"/>
    </row>
    <row r="817">
      <c r="A817" s="5"/>
      <c r="B817" s="2"/>
      <c r="C817" s="2" t="s">
        <v>646</v>
      </c>
      <c r="D817" s="2"/>
      <c r="E817" s="2"/>
      <c r="F817" s="2"/>
      <c r="G817" s="2"/>
      <c r="H817" s="2"/>
      <c r="I817" s="2"/>
    </row>
    <row r="818">
      <c r="A818" s="5"/>
      <c r="B818" s="2"/>
      <c r="C818" s="2" t="s">
        <v>646</v>
      </c>
      <c r="D818" s="2"/>
      <c r="E818" s="2"/>
      <c r="F818" s="2"/>
      <c r="G818" s="2"/>
      <c r="H818" s="2"/>
      <c r="I818" s="2"/>
    </row>
    <row r="819">
      <c r="A819" s="5"/>
      <c r="B819" s="2"/>
      <c r="C819" s="2" t="s">
        <v>646</v>
      </c>
      <c r="D819" s="2"/>
      <c r="E819" s="2"/>
      <c r="F819" s="2"/>
      <c r="G819" s="2"/>
      <c r="H819" s="2"/>
      <c r="I819" s="2"/>
    </row>
    <row r="820">
      <c r="A820" s="5"/>
      <c r="B820" s="2"/>
      <c r="C820" s="2" t="s">
        <v>646</v>
      </c>
      <c r="D820" s="2"/>
      <c r="E820" s="2"/>
      <c r="F820" s="2"/>
      <c r="G820" s="2"/>
      <c r="H820" s="2"/>
      <c r="I820" s="2"/>
    </row>
    <row r="821">
      <c r="A821" s="5"/>
      <c r="B821" s="2"/>
      <c r="C821" s="2" t="s">
        <v>646</v>
      </c>
      <c r="D821" s="2"/>
      <c r="E821" s="2"/>
      <c r="F821" s="2"/>
      <c r="G821" s="2"/>
      <c r="H821" s="2"/>
      <c r="I821" s="2"/>
    </row>
    <row r="822">
      <c r="A822" s="5"/>
      <c r="B822" s="2"/>
      <c r="C822" s="2" t="s">
        <v>646</v>
      </c>
      <c r="D822" s="2"/>
      <c r="E822" s="2"/>
      <c r="F822" s="2"/>
      <c r="G822" s="2"/>
      <c r="H822" s="2"/>
      <c r="I822" s="2"/>
    </row>
    <row r="823">
      <c r="A823" s="5"/>
      <c r="B823" s="2"/>
      <c r="C823" s="2" t="s">
        <v>646</v>
      </c>
      <c r="D823" s="2"/>
      <c r="E823" s="2"/>
      <c r="F823" s="2"/>
      <c r="G823" s="2"/>
      <c r="H823" s="2"/>
      <c r="I823" s="2"/>
    </row>
    <row r="824">
      <c r="A824" s="5"/>
      <c r="B824" s="2"/>
      <c r="C824" s="2" t="s">
        <v>646</v>
      </c>
      <c r="D824" s="2"/>
      <c r="E824" s="2"/>
      <c r="F824" s="2"/>
      <c r="G824" s="2"/>
      <c r="H824" s="2"/>
      <c r="I824" s="2"/>
    </row>
    <row r="825">
      <c r="A825" s="5"/>
      <c r="B825" s="2"/>
      <c r="C825" s="2" t="s">
        <v>646</v>
      </c>
      <c r="D825" s="2"/>
      <c r="E825" s="2"/>
      <c r="F825" s="2"/>
      <c r="G825" s="2"/>
      <c r="H825" s="2"/>
      <c r="I825" s="2"/>
    </row>
    <row r="826">
      <c r="A826" s="5"/>
      <c r="B826" s="2"/>
      <c r="C826" s="2" t="s">
        <v>646</v>
      </c>
      <c r="D826" s="2"/>
      <c r="E826" s="2"/>
      <c r="F826" s="2"/>
      <c r="G826" s="2"/>
      <c r="H826" s="2"/>
      <c r="I826" s="2"/>
    </row>
    <row r="827">
      <c r="A827" s="5"/>
      <c r="B827" s="2"/>
      <c r="C827" s="2" t="s">
        <v>646</v>
      </c>
      <c r="D827" s="2"/>
      <c r="E827" s="2"/>
      <c r="F827" s="2"/>
      <c r="G827" s="2"/>
      <c r="H827" s="2"/>
      <c r="I827" s="2"/>
    </row>
    <row r="828">
      <c r="A828" s="5"/>
      <c r="B828" s="2"/>
      <c r="C828" s="2" t="s">
        <v>646</v>
      </c>
      <c r="D828" s="2"/>
      <c r="E828" s="2"/>
      <c r="F828" s="2"/>
      <c r="G828" s="2"/>
      <c r="H828" s="2"/>
      <c r="I828" s="2"/>
    </row>
    <row r="829">
      <c r="A829" s="5"/>
      <c r="B829" s="2"/>
      <c r="C829" s="2" t="s">
        <v>646</v>
      </c>
      <c r="D829" s="2"/>
      <c r="E829" s="2"/>
      <c r="F829" s="2"/>
      <c r="G829" s="2"/>
      <c r="H829" s="2"/>
      <c r="I829" s="2"/>
    </row>
    <row r="830">
      <c r="A830" s="5"/>
      <c r="B830" s="2"/>
      <c r="C830" s="2" t="s">
        <v>646</v>
      </c>
      <c r="D830" s="2"/>
      <c r="E830" s="2"/>
      <c r="F830" s="2"/>
      <c r="G830" s="2"/>
      <c r="H830" s="2"/>
      <c r="I830" s="2"/>
    </row>
    <row r="831">
      <c r="A831" s="5"/>
      <c r="B831" s="2"/>
      <c r="C831" s="2" t="s">
        <v>646</v>
      </c>
      <c r="D831" s="2"/>
      <c r="E831" s="2"/>
      <c r="F831" s="2"/>
      <c r="G831" s="2"/>
      <c r="H831" s="2"/>
      <c r="I831" s="2"/>
    </row>
    <row r="832">
      <c r="A832" s="5"/>
      <c r="B832" s="2"/>
      <c r="C832" s="2" t="s">
        <v>646</v>
      </c>
      <c r="D832" s="2"/>
      <c r="E832" s="2"/>
      <c r="F832" s="2"/>
      <c r="G832" s="2"/>
      <c r="H832" s="2"/>
      <c r="I832" s="2"/>
    </row>
    <row r="833">
      <c r="A833" s="5"/>
      <c r="B833" s="2"/>
      <c r="C833" s="2" t="s">
        <v>646</v>
      </c>
      <c r="D833" s="2"/>
      <c r="E833" s="2"/>
      <c r="F833" s="2"/>
      <c r="G833" s="2"/>
      <c r="H833" s="2"/>
      <c r="I833" s="2"/>
    </row>
    <row r="834">
      <c r="A834" s="5"/>
      <c r="B834" s="2"/>
      <c r="C834" s="2" t="s">
        <v>646</v>
      </c>
      <c r="D834" s="2"/>
      <c r="E834" s="2"/>
      <c r="F834" s="2"/>
      <c r="G834" s="2"/>
      <c r="H834" s="2"/>
      <c r="I834" s="2"/>
    </row>
    <row r="835">
      <c r="A835" s="5"/>
      <c r="B835" s="2"/>
      <c r="C835" s="2" t="s">
        <v>646</v>
      </c>
      <c r="D835" s="2"/>
      <c r="E835" s="2"/>
      <c r="F835" s="2"/>
      <c r="G835" s="2"/>
      <c r="H835" s="2"/>
      <c r="I835" s="2"/>
    </row>
    <row r="836">
      <c r="A836" s="5"/>
      <c r="B836" s="2"/>
      <c r="C836" s="2" t="s">
        <v>646</v>
      </c>
      <c r="D836" s="2"/>
      <c r="E836" s="2"/>
      <c r="F836" s="2"/>
      <c r="G836" s="2"/>
      <c r="H836" s="2"/>
      <c r="I836" s="2"/>
    </row>
    <row r="837">
      <c r="A837" s="5"/>
      <c r="B837" s="2"/>
      <c r="C837" s="2" t="s">
        <v>646</v>
      </c>
      <c r="D837" s="2"/>
      <c r="E837" s="2"/>
      <c r="F837" s="2"/>
      <c r="G837" s="2"/>
      <c r="H837" s="2"/>
      <c r="I837" s="2"/>
    </row>
    <row r="838">
      <c r="A838" s="5"/>
      <c r="B838" s="2"/>
      <c r="C838" s="2" t="s">
        <v>646</v>
      </c>
      <c r="D838" s="2"/>
      <c r="E838" s="2"/>
      <c r="F838" s="2"/>
      <c r="G838" s="2"/>
      <c r="H838" s="2"/>
      <c r="I838" s="2"/>
    </row>
    <row r="839">
      <c r="A839" s="5"/>
      <c r="B839" s="2"/>
      <c r="C839" s="2" t="s">
        <v>646</v>
      </c>
      <c r="D839" s="2"/>
      <c r="E839" s="2"/>
      <c r="F839" s="2"/>
      <c r="G839" s="2"/>
      <c r="H839" s="2"/>
      <c r="I839" s="2"/>
    </row>
    <row r="840">
      <c r="A840" s="5"/>
      <c r="B840" s="2"/>
      <c r="C840" s="2" t="s">
        <v>646</v>
      </c>
      <c r="D840" s="2"/>
      <c r="E840" s="2"/>
      <c r="F840" s="2"/>
      <c r="G840" s="2"/>
      <c r="H840" s="2"/>
      <c r="I840" s="2"/>
    </row>
    <row r="841">
      <c r="A841" s="5"/>
      <c r="B841" s="2"/>
      <c r="C841" s="2" t="s">
        <v>646</v>
      </c>
      <c r="D841" s="2"/>
      <c r="E841" s="2"/>
      <c r="F841" s="2"/>
      <c r="G841" s="2"/>
      <c r="H841" s="2"/>
      <c r="I841" s="2"/>
    </row>
    <row r="842">
      <c r="A842" s="5"/>
      <c r="B842" s="2"/>
      <c r="C842" s="2" t="s">
        <v>646</v>
      </c>
      <c r="D842" s="2"/>
      <c r="E842" s="2"/>
      <c r="F842" s="2"/>
      <c r="G842" s="2"/>
      <c r="H842" s="2"/>
      <c r="I842" s="2"/>
    </row>
    <row r="843">
      <c r="A843" s="5"/>
      <c r="B843" s="2"/>
      <c r="C843" s="2" t="s">
        <v>646</v>
      </c>
      <c r="D843" s="2"/>
      <c r="E843" s="2"/>
      <c r="F843" s="2"/>
      <c r="G843" s="2"/>
      <c r="H843" s="2"/>
      <c r="I843" s="2"/>
    </row>
    <row r="844">
      <c r="A844" s="5"/>
      <c r="B844" s="2"/>
      <c r="C844" s="2" t="s">
        <v>646</v>
      </c>
      <c r="D844" s="2"/>
      <c r="E844" s="2"/>
      <c r="F844" s="2"/>
      <c r="G844" s="2"/>
      <c r="H844" s="2"/>
      <c r="I844" s="2"/>
    </row>
    <row r="845">
      <c r="A845" s="5"/>
      <c r="B845" s="2"/>
      <c r="C845" s="2" t="s">
        <v>646</v>
      </c>
      <c r="D845" s="2"/>
      <c r="E845" s="2"/>
      <c r="F845" s="2"/>
      <c r="G845" s="2"/>
      <c r="H845" s="2"/>
      <c r="I845" s="2"/>
    </row>
    <row r="846">
      <c r="A846" s="5"/>
      <c r="B846" s="2"/>
      <c r="C846" s="2" t="s">
        <v>646</v>
      </c>
      <c r="D846" s="2"/>
      <c r="E846" s="2"/>
      <c r="F846" s="2"/>
      <c r="G846" s="2"/>
      <c r="H846" s="2"/>
      <c r="I846" s="2"/>
    </row>
    <row r="847">
      <c r="A847" s="5"/>
      <c r="B847" s="2"/>
      <c r="C847" s="2" t="s">
        <v>646</v>
      </c>
      <c r="D847" s="2"/>
      <c r="E847" s="2"/>
      <c r="F847" s="2"/>
      <c r="G847" s="2"/>
      <c r="H847" s="2"/>
      <c r="I847" s="2"/>
    </row>
    <row r="848">
      <c r="A848" s="5"/>
      <c r="B848" s="2"/>
      <c r="C848" s="2" t="s">
        <v>646</v>
      </c>
      <c r="D848" s="2"/>
      <c r="E848" s="2"/>
      <c r="F848" s="2"/>
      <c r="G848" s="2"/>
      <c r="H848" s="2"/>
      <c r="I848" s="2"/>
    </row>
    <row r="849">
      <c r="A849" s="5"/>
      <c r="B849" s="2"/>
      <c r="C849" s="2" t="s">
        <v>646</v>
      </c>
      <c r="D849" s="2"/>
      <c r="E849" s="2"/>
      <c r="F849" s="2"/>
      <c r="G849" s="2"/>
      <c r="H849" s="2"/>
      <c r="I849" s="2"/>
    </row>
    <row r="850">
      <c r="A850" s="5"/>
      <c r="B850" s="2"/>
      <c r="C850" s="2" t="s">
        <v>646</v>
      </c>
      <c r="D850" s="2"/>
      <c r="E850" s="2"/>
      <c r="F850" s="2"/>
      <c r="G850" s="2"/>
      <c r="H850" s="2"/>
      <c r="I850" s="2"/>
    </row>
    <row r="851">
      <c r="A851" s="5"/>
      <c r="B851" s="2"/>
      <c r="C851" s="2" t="s">
        <v>646</v>
      </c>
      <c r="D851" s="2"/>
      <c r="E851" s="2"/>
      <c r="F851" s="2"/>
      <c r="G851" s="2"/>
      <c r="H851" s="2"/>
      <c r="I851" s="2"/>
    </row>
    <row r="852">
      <c r="A852" s="5"/>
      <c r="B852" s="2"/>
      <c r="C852" s="2" t="s">
        <v>646</v>
      </c>
      <c r="D852" s="2"/>
      <c r="E852" s="2"/>
      <c r="F852" s="2"/>
      <c r="G852" s="2"/>
      <c r="H852" s="2"/>
      <c r="I852" s="2"/>
    </row>
    <row r="853">
      <c r="A853" s="5"/>
      <c r="B853" s="2"/>
      <c r="C853" s="2" t="s">
        <v>646</v>
      </c>
      <c r="D853" s="2"/>
      <c r="E853" s="2"/>
      <c r="F853" s="2"/>
      <c r="G853" s="2"/>
      <c r="H853" s="2"/>
      <c r="I853" s="2"/>
    </row>
    <row r="854">
      <c r="A854" s="5"/>
      <c r="B854" s="2"/>
      <c r="C854" s="2" t="s">
        <v>646</v>
      </c>
      <c r="D854" s="2"/>
      <c r="E854" s="2"/>
      <c r="F854" s="2"/>
      <c r="G854" s="2"/>
      <c r="H854" s="2"/>
      <c r="I854" s="2"/>
    </row>
    <row r="855">
      <c r="A855" s="5"/>
      <c r="B855" s="2"/>
      <c r="C855" s="2" t="s">
        <v>646</v>
      </c>
      <c r="D855" s="2"/>
      <c r="E855" s="2"/>
      <c r="F855" s="2"/>
      <c r="G855" s="2"/>
      <c r="H855" s="2"/>
      <c r="I855" s="2"/>
    </row>
    <row r="856">
      <c r="A856" s="5"/>
      <c r="B856" s="2"/>
      <c r="C856" s="2" t="s">
        <v>646</v>
      </c>
      <c r="D856" s="2"/>
      <c r="E856" s="2"/>
      <c r="F856" s="2"/>
      <c r="G856" s="2"/>
      <c r="H856" s="2"/>
      <c r="I856" s="2"/>
    </row>
    <row r="857">
      <c r="A857" s="5"/>
      <c r="B857" s="2"/>
      <c r="C857" s="2" t="s">
        <v>646</v>
      </c>
      <c r="D857" s="2"/>
      <c r="E857" s="2"/>
      <c r="F857" s="2"/>
      <c r="G857" s="2"/>
      <c r="H857" s="2"/>
      <c r="I857" s="2"/>
    </row>
    <row r="858">
      <c r="A858" s="5"/>
      <c r="B858" s="2"/>
      <c r="C858" s="2" t="s">
        <v>646</v>
      </c>
      <c r="D858" s="2"/>
      <c r="E858" s="2"/>
      <c r="F858" s="2"/>
      <c r="G858" s="2"/>
      <c r="H858" s="2"/>
      <c r="I858" s="2"/>
    </row>
    <row r="859">
      <c r="A859" s="5"/>
      <c r="B859" s="2"/>
      <c r="C859" s="2" t="s">
        <v>646</v>
      </c>
      <c r="D859" s="2"/>
      <c r="E859" s="2"/>
      <c r="F859" s="2"/>
      <c r="G859" s="2"/>
      <c r="H859" s="2"/>
      <c r="I859" s="2"/>
    </row>
    <row r="860">
      <c r="A860" s="5"/>
      <c r="B860" s="2"/>
      <c r="C860" s="2" t="s">
        <v>646</v>
      </c>
      <c r="D860" s="2"/>
      <c r="E860" s="2"/>
      <c r="F860" s="2"/>
      <c r="G860" s="2"/>
      <c r="H860" s="2"/>
      <c r="I860" s="2"/>
    </row>
    <row r="861">
      <c r="A861" s="5"/>
      <c r="B861" s="2"/>
      <c r="C861" s="2" t="s">
        <v>646</v>
      </c>
      <c r="D861" s="2"/>
      <c r="E861" s="2"/>
      <c r="F861" s="2"/>
      <c r="G861" s="2"/>
      <c r="H861" s="2"/>
      <c r="I861" s="2"/>
    </row>
    <row r="862">
      <c r="A862" s="5"/>
      <c r="B862" s="2"/>
      <c r="C862" s="2" t="s">
        <v>646</v>
      </c>
      <c r="D862" s="2"/>
      <c r="E862" s="2"/>
      <c r="F862" s="2"/>
      <c r="G862" s="2"/>
      <c r="H862" s="2"/>
      <c r="I862" s="2"/>
    </row>
    <row r="863">
      <c r="A863" s="5"/>
      <c r="B863" s="2"/>
      <c r="C863" s="2" t="s">
        <v>646</v>
      </c>
      <c r="D863" s="2"/>
      <c r="E863" s="2"/>
      <c r="F863" s="2"/>
      <c r="G863" s="2"/>
      <c r="H863" s="2"/>
      <c r="I863" s="2"/>
    </row>
    <row r="864">
      <c r="A864" s="5"/>
      <c r="B864" s="2"/>
      <c r="C864" s="2" t="s">
        <v>646</v>
      </c>
      <c r="D864" s="2"/>
      <c r="E864" s="2"/>
      <c r="F864" s="2"/>
      <c r="G864" s="2"/>
      <c r="H864" s="2"/>
      <c r="I864" s="2"/>
    </row>
    <row r="865">
      <c r="A865" s="5"/>
      <c r="B865" s="2"/>
      <c r="C865" s="2" t="s">
        <v>646</v>
      </c>
      <c r="D865" s="2"/>
      <c r="E865" s="2"/>
      <c r="F865" s="2"/>
      <c r="G865" s="2"/>
      <c r="H865" s="2"/>
      <c r="I865" s="2"/>
    </row>
    <row r="866">
      <c r="A866" s="5"/>
      <c r="B866" s="2"/>
      <c r="C866" s="2" t="s">
        <v>646</v>
      </c>
      <c r="D866" s="2"/>
      <c r="E866" s="2"/>
      <c r="F866" s="2"/>
      <c r="G866" s="2"/>
      <c r="H866" s="2"/>
      <c r="I866" s="2"/>
    </row>
    <row r="867">
      <c r="A867" s="5"/>
      <c r="B867" s="2"/>
      <c r="C867" s="2" t="s">
        <v>646</v>
      </c>
      <c r="D867" s="2"/>
      <c r="E867" s="2"/>
      <c r="F867" s="2"/>
      <c r="G867" s="2"/>
      <c r="H867" s="2"/>
      <c r="I867" s="2"/>
    </row>
    <row r="868">
      <c r="A868" s="5"/>
      <c r="B868" s="2"/>
      <c r="C868" s="2" t="s">
        <v>646</v>
      </c>
      <c r="D868" s="2"/>
      <c r="E868" s="2"/>
      <c r="F868" s="2"/>
      <c r="G868" s="2"/>
      <c r="H868" s="2"/>
      <c r="I868" s="2"/>
    </row>
    <row r="869">
      <c r="A869" s="5"/>
      <c r="B869" s="2"/>
      <c r="C869" s="2" t="s">
        <v>646</v>
      </c>
      <c r="D869" s="2"/>
      <c r="E869" s="2"/>
      <c r="F869" s="2"/>
      <c r="G869" s="2"/>
      <c r="H869" s="2"/>
      <c r="I869" s="2"/>
    </row>
    <row r="870">
      <c r="A870" s="5"/>
      <c r="B870" s="2"/>
      <c r="C870" s="2" t="s">
        <v>646</v>
      </c>
      <c r="D870" s="2"/>
      <c r="E870" s="2"/>
      <c r="F870" s="2"/>
      <c r="G870" s="2"/>
      <c r="H870" s="2"/>
      <c r="I870" s="2"/>
    </row>
    <row r="871">
      <c r="A871" s="5"/>
      <c r="B871" s="2"/>
      <c r="C871" s="2" t="s">
        <v>646</v>
      </c>
      <c r="D871" s="2"/>
      <c r="E871" s="2"/>
      <c r="F871" s="2"/>
      <c r="G871" s="2"/>
      <c r="H871" s="2"/>
      <c r="I871" s="2"/>
    </row>
    <row r="872">
      <c r="A872" s="5"/>
      <c r="B872" s="2"/>
      <c r="C872" s="2" t="s">
        <v>646</v>
      </c>
      <c r="D872" s="2"/>
      <c r="E872" s="2"/>
      <c r="F872" s="2"/>
      <c r="G872" s="2"/>
      <c r="H872" s="2"/>
      <c r="I872" s="2"/>
    </row>
    <row r="873">
      <c r="A873" s="5"/>
      <c r="B873" s="2"/>
      <c r="C873" s="2" t="s">
        <v>646</v>
      </c>
      <c r="D873" s="2"/>
      <c r="E873" s="2"/>
      <c r="F873" s="2"/>
      <c r="G873" s="2"/>
      <c r="H873" s="2"/>
      <c r="I873" s="2"/>
    </row>
    <row r="874">
      <c r="A874" s="5"/>
      <c r="B874" s="2"/>
      <c r="C874" s="2" t="s">
        <v>646</v>
      </c>
      <c r="D874" s="2"/>
      <c r="E874" s="2"/>
      <c r="F874" s="2"/>
      <c r="G874" s="2"/>
      <c r="H874" s="2"/>
      <c r="I874" s="2"/>
    </row>
    <row r="875">
      <c r="A875" s="5"/>
      <c r="B875" s="2"/>
      <c r="C875" s="2" t="s">
        <v>646</v>
      </c>
      <c r="D875" s="2"/>
      <c r="E875" s="2"/>
      <c r="F875" s="2"/>
      <c r="G875" s="2"/>
      <c r="H875" s="2"/>
      <c r="I875" s="2"/>
    </row>
    <row r="876">
      <c r="A876" s="5"/>
      <c r="B876" s="2"/>
      <c r="C876" s="2" t="s">
        <v>646</v>
      </c>
      <c r="D876" s="2"/>
      <c r="E876" s="2"/>
      <c r="F876" s="2"/>
      <c r="G876" s="2"/>
      <c r="H876" s="2"/>
      <c r="I876" s="2"/>
    </row>
    <row r="877">
      <c r="A877" s="5"/>
      <c r="B877" s="2"/>
      <c r="C877" s="2" t="s">
        <v>646</v>
      </c>
      <c r="D877" s="2"/>
      <c r="E877" s="2"/>
      <c r="F877" s="2"/>
      <c r="G877" s="2"/>
      <c r="H877" s="2"/>
      <c r="I877" s="2"/>
    </row>
    <row r="878">
      <c r="A878" s="5"/>
      <c r="B878" s="2"/>
      <c r="C878" s="2" t="s">
        <v>646</v>
      </c>
      <c r="D878" s="2"/>
      <c r="E878" s="2"/>
      <c r="F878" s="2"/>
      <c r="G878" s="2"/>
      <c r="H878" s="2"/>
      <c r="I878" s="2"/>
    </row>
    <row r="879">
      <c r="A879" s="5"/>
      <c r="B879" s="2"/>
      <c r="C879" s="2" t="s">
        <v>646</v>
      </c>
      <c r="D879" s="2"/>
      <c r="E879" s="2"/>
      <c r="F879" s="2"/>
      <c r="G879" s="2"/>
      <c r="H879" s="2"/>
      <c r="I879" s="2"/>
    </row>
    <row r="880">
      <c r="A880" s="5"/>
      <c r="B880" s="2"/>
      <c r="C880" s="2" t="s">
        <v>646</v>
      </c>
      <c r="D880" s="2"/>
      <c r="E880" s="2"/>
      <c r="F880" s="2"/>
      <c r="G880" s="2"/>
      <c r="H880" s="2"/>
      <c r="I880" s="2"/>
    </row>
    <row r="881">
      <c r="A881" s="5"/>
      <c r="B881" s="2"/>
      <c r="C881" s="2" t="s">
        <v>646</v>
      </c>
      <c r="D881" s="2"/>
      <c r="E881" s="2"/>
      <c r="F881" s="2"/>
      <c r="G881" s="2"/>
      <c r="H881" s="2"/>
      <c r="I881" s="2"/>
    </row>
    <row r="882">
      <c r="A882" s="5"/>
      <c r="B882" s="2"/>
      <c r="C882" s="2" t="s">
        <v>646</v>
      </c>
      <c r="D882" s="2"/>
      <c r="E882" s="2"/>
      <c r="F882" s="2"/>
      <c r="G882" s="2"/>
      <c r="H882" s="2"/>
      <c r="I882" s="2"/>
    </row>
    <row r="883">
      <c r="A883" s="5"/>
      <c r="B883" s="2"/>
      <c r="C883" s="2" t="s">
        <v>646</v>
      </c>
      <c r="D883" s="2"/>
      <c r="E883" s="2"/>
      <c r="F883" s="2"/>
      <c r="G883" s="2"/>
      <c r="H883" s="2"/>
      <c r="I883" s="2"/>
    </row>
    <row r="884">
      <c r="A884" s="5"/>
      <c r="B884" s="2"/>
      <c r="C884" s="2" t="s">
        <v>646</v>
      </c>
      <c r="D884" s="2"/>
      <c r="E884" s="2"/>
      <c r="F884" s="2"/>
      <c r="G884" s="2"/>
      <c r="H884" s="2"/>
      <c r="I884" s="2"/>
    </row>
    <row r="885">
      <c r="A885" s="5"/>
      <c r="B885" s="2"/>
      <c r="C885" s="2" t="s">
        <v>646</v>
      </c>
      <c r="D885" s="2"/>
      <c r="E885" s="2"/>
      <c r="F885" s="2"/>
      <c r="G885" s="2"/>
      <c r="H885" s="2"/>
      <c r="I885" s="2"/>
    </row>
    <row r="886">
      <c r="A886" s="5"/>
      <c r="B886" s="2"/>
      <c r="C886" s="2" t="s">
        <v>646</v>
      </c>
      <c r="D886" s="2"/>
      <c r="E886" s="2"/>
      <c r="F886" s="2"/>
      <c r="G886" s="2"/>
      <c r="H886" s="2"/>
      <c r="I886" s="2"/>
    </row>
    <row r="887">
      <c r="A887" s="5"/>
      <c r="B887" s="2"/>
      <c r="C887" s="2" t="s">
        <v>646</v>
      </c>
      <c r="D887" s="2"/>
      <c r="E887" s="2"/>
      <c r="F887" s="2"/>
      <c r="G887" s="2"/>
      <c r="H887" s="2"/>
      <c r="I887" s="2"/>
    </row>
    <row r="888">
      <c r="A888" s="5"/>
      <c r="B888" s="2"/>
      <c r="C888" s="2" t="s">
        <v>646</v>
      </c>
      <c r="D888" s="2"/>
      <c r="E888" s="2"/>
      <c r="F888" s="2"/>
      <c r="G888" s="2"/>
      <c r="H888" s="2"/>
      <c r="I888" s="2"/>
    </row>
    <row r="889">
      <c r="A889" s="5"/>
      <c r="B889" s="2"/>
      <c r="C889" s="2" t="s">
        <v>646</v>
      </c>
      <c r="D889" s="2"/>
      <c r="E889" s="2"/>
      <c r="F889" s="2"/>
      <c r="G889" s="2"/>
      <c r="H889" s="2"/>
      <c r="I889" s="2"/>
    </row>
    <row r="890">
      <c r="A890" s="5"/>
      <c r="B890" s="2"/>
      <c r="C890" s="2" t="s">
        <v>646</v>
      </c>
      <c r="D890" s="2"/>
      <c r="E890" s="2"/>
      <c r="F890" s="2"/>
      <c r="G890" s="2"/>
      <c r="H890" s="2"/>
      <c r="I890" s="2"/>
    </row>
    <row r="891">
      <c r="A891" s="5"/>
      <c r="B891" s="2"/>
      <c r="C891" s="2" t="s">
        <v>646</v>
      </c>
      <c r="D891" s="2"/>
      <c r="E891" s="2"/>
      <c r="F891" s="2"/>
      <c r="G891" s="2"/>
      <c r="H891" s="2"/>
      <c r="I891" s="2"/>
    </row>
    <row r="892">
      <c r="A892" s="5"/>
      <c r="B892" s="2"/>
      <c r="C892" s="2" t="s">
        <v>646</v>
      </c>
      <c r="D892" s="2"/>
      <c r="E892" s="2"/>
      <c r="F892" s="2"/>
      <c r="G892" s="2"/>
      <c r="H892" s="2"/>
      <c r="I892" s="2"/>
    </row>
    <row r="893">
      <c r="A893" s="5"/>
      <c r="B893" s="2"/>
      <c r="C893" s="2" t="s">
        <v>646</v>
      </c>
      <c r="D893" s="2"/>
      <c r="E893" s="2"/>
      <c r="F893" s="2"/>
      <c r="G893" s="2"/>
      <c r="H893" s="2"/>
      <c r="I893" s="2"/>
    </row>
    <row r="894">
      <c r="A894" s="5"/>
      <c r="B894" s="2"/>
      <c r="C894" s="2" t="s">
        <v>646</v>
      </c>
      <c r="D894" s="2"/>
      <c r="E894" s="2"/>
      <c r="F894" s="2"/>
      <c r="G894" s="2"/>
      <c r="H894" s="2"/>
      <c r="I894" s="2"/>
    </row>
    <row r="895">
      <c r="A895" s="5"/>
      <c r="B895" s="2"/>
      <c r="C895" s="2" t="s">
        <v>646</v>
      </c>
      <c r="D895" s="2"/>
      <c r="E895" s="2"/>
      <c r="F895" s="2"/>
      <c r="G895" s="2"/>
      <c r="H895" s="2"/>
      <c r="I895" s="2"/>
    </row>
    <row r="896">
      <c r="A896" s="5"/>
      <c r="B896" s="2"/>
      <c r="C896" s="2" t="s">
        <v>646</v>
      </c>
      <c r="D896" s="2"/>
      <c r="E896" s="2"/>
      <c r="F896" s="2"/>
      <c r="G896" s="2"/>
      <c r="H896" s="2"/>
      <c r="I896" s="2"/>
    </row>
    <row r="897">
      <c r="A897" s="5"/>
      <c r="B897" s="2"/>
      <c r="C897" s="2" t="s">
        <v>646</v>
      </c>
      <c r="D897" s="2"/>
      <c r="E897" s="2"/>
      <c r="F897" s="2"/>
      <c r="G897" s="2"/>
      <c r="H897" s="2"/>
      <c r="I897" s="2"/>
    </row>
    <row r="898">
      <c r="A898" s="5"/>
      <c r="B898" s="2"/>
      <c r="C898" s="2" t="s">
        <v>646</v>
      </c>
      <c r="D898" s="2"/>
      <c r="E898" s="2"/>
      <c r="F898" s="2"/>
      <c r="G898" s="2"/>
      <c r="H898" s="2"/>
      <c r="I898" s="2"/>
    </row>
    <row r="899">
      <c r="A899" s="5"/>
      <c r="B899" s="2"/>
      <c r="C899" s="2" t="s">
        <v>646</v>
      </c>
      <c r="D899" s="2"/>
      <c r="E899" s="2"/>
      <c r="F899" s="2"/>
      <c r="G899" s="2"/>
      <c r="H899" s="2"/>
      <c r="I899" s="2"/>
    </row>
    <row r="900">
      <c r="A900" s="5"/>
      <c r="B900" s="2"/>
      <c r="C900" s="2" t="s">
        <v>646</v>
      </c>
      <c r="D900" s="2"/>
      <c r="E900" s="2"/>
      <c r="F900" s="2"/>
      <c r="G900" s="2"/>
      <c r="H900" s="2"/>
      <c r="I900" s="2"/>
    </row>
    <row r="901">
      <c r="A901" s="5"/>
      <c r="B901" s="2"/>
      <c r="C901" s="2" t="s">
        <v>646</v>
      </c>
      <c r="D901" s="2"/>
      <c r="E901" s="2"/>
      <c r="F901" s="2"/>
      <c r="G901" s="2"/>
      <c r="H901" s="2"/>
      <c r="I901" s="2"/>
    </row>
    <row r="902">
      <c r="A902" s="5"/>
      <c r="B902" s="2"/>
      <c r="C902" s="2" t="s">
        <v>646</v>
      </c>
      <c r="D902" s="2"/>
      <c r="E902" s="2"/>
      <c r="F902" s="2"/>
      <c r="G902" s="2"/>
      <c r="H902" s="2"/>
      <c r="I902" s="2"/>
    </row>
    <row r="903">
      <c r="A903" s="5"/>
      <c r="B903" s="2"/>
      <c r="C903" s="2" t="s">
        <v>646</v>
      </c>
      <c r="D903" s="2"/>
      <c r="E903" s="2"/>
      <c r="F903" s="2"/>
      <c r="G903" s="2"/>
      <c r="H903" s="2"/>
      <c r="I903" s="2"/>
    </row>
    <row r="904">
      <c r="A904" s="5"/>
      <c r="B904" s="2"/>
      <c r="C904" s="2" t="s">
        <v>646</v>
      </c>
      <c r="D904" s="2"/>
      <c r="E904" s="2"/>
      <c r="F904" s="2"/>
      <c r="G904" s="2"/>
      <c r="H904" s="2"/>
      <c r="I904" s="2"/>
    </row>
    <row r="905">
      <c r="A905" s="5"/>
      <c r="B905" s="2"/>
      <c r="C905" s="2" t="s">
        <v>646</v>
      </c>
      <c r="D905" s="2"/>
      <c r="E905" s="2"/>
      <c r="F905" s="2"/>
      <c r="G905" s="2"/>
      <c r="H905" s="2"/>
      <c r="I905" s="2"/>
    </row>
    <row r="906">
      <c r="A906" s="5"/>
      <c r="B906" s="2"/>
      <c r="C906" s="2" t="s">
        <v>646</v>
      </c>
      <c r="D906" s="2"/>
      <c r="E906" s="2"/>
      <c r="F906" s="2"/>
      <c r="G906" s="2"/>
      <c r="H906" s="2"/>
      <c r="I906" s="2"/>
    </row>
    <row r="907">
      <c r="A907" s="5"/>
      <c r="B907" s="2"/>
      <c r="C907" s="2" t="s">
        <v>646</v>
      </c>
      <c r="D907" s="2"/>
      <c r="E907" s="2"/>
      <c r="F907" s="2"/>
      <c r="G907" s="2"/>
      <c r="H907" s="2"/>
      <c r="I907" s="2"/>
    </row>
    <row r="908">
      <c r="A908" s="5"/>
      <c r="B908" s="2"/>
      <c r="C908" s="2" t="s">
        <v>646</v>
      </c>
      <c r="D908" s="2"/>
      <c r="E908" s="2"/>
      <c r="F908" s="2"/>
      <c r="G908" s="2"/>
      <c r="H908" s="2"/>
      <c r="I908" s="2"/>
    </row>
    <row r="909">
      <c r="A909" s="5"/>
      <c r="B909" s="2"/>
      <c r="C909" s="2" t="s">
        <v>646</v>
      </c>
      <c r="D909" s="2"/>
      <c r="E909" s="2"/>
      <c r="F909" s="2"/>
      <c r="G909" s="2"/>
      <c r="H909" s="2"/>
      <c r="I909" s="2"/>
    </row>
    <row r="910">
      <c r="A910" s="5"/>
      <c r="B910" s="2"/>
      <c r="C910" s="2" t="s">
        <v>646</v>
      </c>
      <c r="D910" s="2"/>
      <c r="E910" s="2"/>
      <c r="F910" s="2"/>
      <c r="G910" s="2"/>
      <c r="H910" s="2"/>
      <c r="I910" s="2"/>
    </row>
    <row r="911">
      <c r="A911" s="5"/>
      <c r="B911" s="2"/>
      <c r="C911" s="2" t="s">
        <v>646</v>
      </c>
      <c r="D911" s="2"/>
      <c r="E911" s="2"/>
      <c r="F911" s="2"/>
      <c r="G911" s="2"/>
      <c r="H911" s="2"/>
      <c r="I911" s="2"/>
    </row>
    <row r="912">
      <c r="A912" s="5"/>
      <c r="B912" s="2"/>
      <c r="C912" s="2" t="s">
        <v>646</v>
      </c>
      <c r="D912" s="2"/>
      <c r="E912" s="2"/>
      <c r="F912" s="2"/>
      <c r="G912" s="2"/>
      <c r="H912" s="2"/>
      <c r="I912" s="2"/>
    </row>
    <row r="913">
      <c r="A913" s="5"/>
      <c r="B913" s="2"/>
      <c r="C913" s="2" t="s">
        <v>646</v>
      </c>
      <c r="D913" s="2"/>
      <c r="E913" s="2"/>
      <c r="F913" s="2"/>
      <c r="G913" s="2"/>
      <c r="H913" s="2"/>
      <c r="I913" s="2"/>
    </row>
    <row r="914">
      <c r="A914" s="5"/>
      <c r="B914" s="2"/>
      <c r="C914" s="2" t="s">
        <v>646</v>
      </c>
      <c r="D914" s="2"/>
      <c r="E914" s="2"/>
      <c r="F914" s="2"/>
      <c r="G914" s="2"/>
      <c r="H914" s="2"/>
      <c r="I914" s="2"/>
    </row>
    <row r="915">
      <c r="A915" s="5"/>
      <c r="B915" s="2"/>
      <c r="C915" s="2" t="s">
        <v>646</v>
      </c>
      <c r="D915" s="2"/>
      <c r="E915" s="2"/>
      <c r="F915" s="2"/>
      <c r="G915" s="2"/>
      <c r="H915" s="2"/>
      <c r="I915" s="2"/>
    </row>
    <row r="916">
      <c r="A916" s="5"/>
      <c r="B916" s="2"/>
      <c r="C916" s="2" t="s">
        <v>646</v>
      </c>
      <c r="D916" s="2"/>
      <c r="E916" s="2"/>
      <c r="F916" s="2"/>
      <c r="G916" s="2"/>
      <c r="H916" s="2"/>
      <c r="I916" s="2"/>
    </row>
    <row r="917">
      <c r="A917" s="5"/>
      <c r="B917" s="2"/>
      <c r="C917" s="2" t="s">
        <v>646</v>
      </c>
      <c r="D917" s="2"/>
      <c r="E917" s="2"/>
      <c r="F917" s="2"/>
      <c r="G917" s="2"/>
      <c r="H917" s="2"/>
      <c r="I917" s="2"/>
    </row>
    <row r="918">
      <c r="A918" s="5"/>
      <c r="B918" s="2"/>
      <c r="C918" s="2" t="s">
        <v>646</v>
      </c>
      <c r="D918" s="2"/>
      <c r="E918" s="2"/>
      <c r="F918" s="2"/>
      <c r="G918" s="2"/>
      <c r="H918" s="2"/>
      <c r="I918" s="2"/>
    </row>
    <row r="919">
      <c r="A919" s="5"/>
      <c r="B919" s="2"/>
      <c r="C919" s="2" t="s">
        <v>646</v>
      </c>
      <c r="D919" s="2"/>
      <c r="E919" s="2"/>
      <c r="F919" s="2"/>
      <c r="G919" s="2"/>
      <c r="H919" s="2"/>
      <c r="I919" s="2"/>
    </row>
    <row r="920">
      <c r="A920" s="5"/>
      <c r="B920" s="2"/>
      <c r="C920" s="2" t="s">
        <v>646</v>
      </c>
      <c r="D920" s="2"/>
      <c r="E920" s="2"/>
      <c r="F920" s="2"/>
      <c r="G920" s="2"/>
      <c r="H920" s="2"/>
      <c r="I920" s="2"/>
    </row>
    <row r="921">
      <c r="A921" s="5"/>
      <c r="B921" s="2"/>
      <c r="C921" s="2" t="s">
        <v>646</v>
      </c>
      <c r="D921" s="2"/>
      <c r="E921" s="2"/>
      <c r="F921" s="2"/>
      <c r="G921" s="2"/>
      <c r="H921" s="2"/>
      <c r="I921" s="2"/>
    </row>
    <row r="922">
      <c r="A922" s="5"/>
      <c r="B922" s="2"/>
      <c r="C922" s="2" t="s">
        <v>646</v>
      </c>
      <c r="D922" s="2"/>
      <c r="E922" s="2"/>
      <c r="F922" s="2"/>
      <c r="G922" s="2"/>
      <c r="H922" s="2"/>
      <c r="I922" s="2"/>
    </row>
    <row r="923">
      <c r="A923" s="5"/>
      <c r="B923" s="2"/>
      <c r="C923" s="2" t="s">
        <v>646</v>
      </c>
      <c r="D923" s="2"/>
      <c r="E923" s="2"/>
      <c r="F923" s="2"/>
      <c r="G923" s="2"/>
      <c r="H923" s="2"/>
      <c r="I923" s="2"/>
    </row>
    <row r="924">
      <c r="A924" s="5"/>
      <c r="B924" s="2"/>
      <c r="C924" s="2" t="s">
        <v>646</v>
      </c>
      <c r="D924" s="2"/>
      <c r="E924" s="2"/>
      <c r="F924" s="2"/>
      <c r="G924" s="2"/>
      <c r="H924" s="2"/>
      <c r="I924" s="2"/>
    </row>
    <row r="925">
      <c r="A925" s="5"/>
      <c r="B925" s="2"/>
      <c r="C925" s="2" t="s">
        <v>646</v>
      </c>
      <c r="D925" s="2"/>
      <c r="E925" s="2"/>
      <c r="F925" s="2"/>
      <c r="G925" s="2"/>
      <c r="H925" s="2"/>
      <c r="I925" s="2"/>
    </row>
    <row r="926">
      <c r="A926" s="5"/>
      <c r="B926" s="2"/>
      <c r="C926" s="2" t="s">
        <v>646</v>
      </c>
      <c r="D926" s="2"/>
      <c r="E926" s="2"/>
      <c r="F926" s="2"/>
      <c r="G926" s="2"/>
      <c r="H926" s="2"/>
      <c r="I926" s="2"/>
    </row>
    <row r="927">
      <c r="A927" s="5"/>
      <c r="B927" s="2"/>
      <c r="C927" s="2" t="s">
        <v>646</v>
      </c>
      <c r="D927" s="2"/>
      <c r="E927" s="2"/>
      <c r="F927" s="2"/>
      <c r="G927" s="2"/>
      <c r="H927" s="2"/>
      <c r="I927" s="2"/>
    </row>
    <row r="928">
      <c r="A928" s="5"/>
      <c r="B928" s="2"/>
      <c r="C928" s="2" t="s">
        <v>646</v>
      </c>
      <c r="D928" s="2"/>
      <c r="E928" s="2"/>
      <c r="F928" s="2"/>
      <c r="G928" s="2"/>
      <c r="H928" s="2"/>
      <c r="I928" s="2"/>
    </row>
    <row r="929">
      <c r="A929" s="5"/>
      <c r="B929" s="2"/>
      <c r="C929" s="2" t="s">
        <v>646</v>
      </c>
      <c r="D929" s="2"/>
      <c r="E929" s="2"/>
      <c r="F929" s="2"/>
      <c r="G929" s="2"/>
      <c r="H929" s="2"/>
      <c r="I929" s="2"/>
    </row>
    <row r="930">
      <c r="A930" s="5"/>
      <c r="B930" s="2"/>
      <c r="C930" s="2" t="s">
        <v>646</v>
      </c>
      <c r="D930" s="2"/>
      <c r="E930" s="2"/>
      <c r="F930" s="2"/>
      <c r="G930" s="2"/>
      <c r="H930" s="2"/>
      <c r="I930" s="2"/>
    </row>
    <row r="931">
      <c r="A931" s="5"/>
      <c r="B931" s="2"/>
      <c r="C931" s="2" t="s">
        <v>646</v>
      </c>
      <c r="D931" s="2"/>
      <c r="E931" s="2"/>
      <c r="F931" s="2"/>
      <c r="G931" s="2"/>
      <c r="H931" s="2"/>
      <c r="I931" s="2"/>
    </row>
    <row r="932">
      <c r="A932" s="5"/>
      <c r="B932" s="2"/>
      <c r="C932" s="2" t="s">
        <v>646</v>
      </c>
      <c r="D932" s="2"/>
      <c r="E932" s="2"/>
      <c r="F932" s="2"/>
      <c r="G932" s="2"/>
      <c r="H932" s="2"/>
      <c r="I932" s="2"/>
    </row>
    <row r="933">
      <c r="A933" s="5"/>
      <c r="B933" s="2"/>
      <c r="C933" s="2" t="s">
        <v>646</v>
      </c>
      <c r="D933" s="2"/>
      <c r="E933" s="2"/>
      <c r="F933" s="2"/>
      <c r="G933" s="2"/>
      <c r="H933" s="2"/>
      <c r="I933" s="2"/>
    </row>
    <row r="934">
      <c r="A934" s="5"/>
      <c r="B934" s="2"/>
      <c r="C934" s="2" t="s">
        <v>646</v>
      </c>
      <c r="D934" s="2"/>
      <c r="E934" s="2"/>
      <c r="F934" s="2"/>
      <c r="G934" s="2"/>
      <c r="H934" s="2"/>
      <c r="I934" s="2"/>
    </row>
    <row r="935">
      <c r="A935" s="5"/>
      <c r="B935" s="2"/>
      <c r="C935" s="2" t="s">
        <v>646</v>
      </c>
      <c r="D935" s="2"/>
      <c r="E935" s="2"/>
      <c r="F935" s="2"/>
      <c r="G935" s="2"/>
      <c r="H935" s="2"/>
      <c r="I935" s="2"/>
    </row>
    <row r="936">
      <c r="A936" s="5"/>
      <c r="B936" s="2"/>
      <c r="C936" s="2" t="s">
        <v>646</v>
      </c>
      <c r="D936" s="2"/>
      <c r="E936" s="2"/>
      <c r="F936" s="2"/>
      <c r="G936" s="2"/>
      <c r="H936" s="2"/>
      <c r="I936" s="2"/>
    </row>
    <row r="937">
      <c r="A937" s="5"/>
      <c r="B937" s="2"/>
      <c r="C937" s="2" t="s">
        <v>646</v>
      </c>
      <c r="D937" s="2"/>
      <c r="E937" s="2"/>
      <c r="F937" s="2"/>
      <c r="G937" s="2"/>
      <c r="H937" s="2"/>
      <c r="I937" s="2"/>
    </row>
    <row r="938">
      <c r="A938" s="5"/>
      <c r="B938" s="2"/>
      <c r="C938" s="2" t="s">
        <v>646</v>
      </c>
      <c r="D938" s="2"/>
      <c r="E938" s="2"/>
      <c r="F938" s="2"/>
      <c r="G938" s="2"/>
      <c r="H938" s="2"/>
      <c r="I938" s="2"/>
    </row>
    <row r="939">
      <c r="A939" s="5"/>
      <c r="B939" s="2"/>
      <c r="C939" s="2" t="s">
        <v>646</v>
      </c>
      <c r="D939" s="2"/>
      <c r="E939" s="2"/>
      <c r="F939" s="2"/>
      <c r="G939" s="2"/>
      <c r="H939" s="2"/>
      <c r="I939" s="2"/>
    </row>
    <row r="940">
      <c r="A940" s="5"/>
      <c r="B940" s="2"/>
      <c r="C940" s="2" t="s">
        <v>646</v>
      </c>
      <c r="D940" s="2"/>
      <c r="E940" s="2"/>
      <c r="F940" s="2"/>
      <c r="G940" s="2"/>
      <c r="H940" s="2"/>
      <c r="I940" s="2"/>
    </row>
    <row r="941">
      <c r="A941" s="5"/>
      <c r="B941" s="2"/>
      <c r="C941" s="2" t="s">
        <v>646</v>
      </c>
      <c r="D941" s="2"/>
      <c r="E941" s="2"/>
      <c r="F941" s="2"/>
      <c r="G941" s="2"/>
      <c r="H941" s="2"/>
      <c r="I941" s="2"/>
    </row>
    <row r="942">
      <c r="A942" s="5"/>
      <c r="B942" s="2"/>
      <c r="C942" s="2" t="s">
        <v>646</v>
      </c>
      <c r="D942" s="2"/>
      <c r="E942" s="2"/>
      <c r="F942" s="2"/>
      <c r="G942" s="2"/>
      <c r="H942" s="2"/>
      <c r="I942" s="2"/>
    </row>
    <row r="943">
      <c r="A943" s="5"/>
      <c r="B943" s="2"/>
      <c r="C943" s="2" t="s">
        <v>646</v>
      </c>
      <c r="D943" s="2"/>
      <c r="E943" s="2"/>
      <c r="F943" s="2"/>
      <c r="G943" s="2"/>
      <c r="H943" s="2"/>
      <c r="I943" s="2"/>
    </row>
    <row r="944">
      <c r="A944" s="5"/>
      <c r="B944" s="2"/>
      <c r="C944" s="2" t="s">
        <v>646</v>
      </c>
      <c r="D944" s="2"/>
      <c r="E944" s="2"/>
      <c r="F944" s="2"/>
      <c r="G944" s="2"/>
      <c r="H944" s="2"/>
      <c r="I944" s="2"/>
    </row>
    <row r="945">
      <c r="A945" s="5"/>
      <c r="B945" s="2"/>
      <c r="C945" s="2" t="s">
        <v>646</v>
      </c>
      <c r="D945" s="2"/>
      <c r="E945" s="2"/>
      <c r="F945" s="2"/>
      <c r="G945" s="2"/>
      <c r="H945" s="2"/>
      <c r="I945" s="2"/>
    </row>
    <row r="946">
      <c r="A946" s="5"/>
      <c r="B946" s="2"/>
      <c r="C946" s="2" t="s">
        <v>646</v>
      </c>
      <c r="D946" s="2"/>
      <c r="E946" s="2"/>
      <c r="F946" s="2"/>
      <c r="G946" s="2"/>
      <c r="H946" s="2"/>
      <c r="I946" s="2"/>
    </row>
    <row r="947">
      <c r="A947" s="5"/>
      <c r="B947" s="2"/>
      <c r="C947" s="2" t="s">
        <v>646</v>
      </c>
      <c r="D947" s="2"/>
      <c r="E947" s="2"/>
      <c r="F947" s="2"/>
      <c r="G947" s="2"/>
      <c r="H947" s="2"/>
      <c r="I947" s="2"/>
    </row>
    <row r="948">
      <c r="A948" s="5"/>
      <c r="B948" s="2"/>
      <c r="C948" s="2" t="s">
        <v>646</v>
      </c>
      <c r="D948" s="2"/>
      <c r="E948" s="2"/>
      <c r="F948" s="2"/>
      <c r="G948" s="2"/>
      <c r="H948" s="2"/>
      <c r="I948" s="2"/>
    </row>
    <row r="949">
      <c r="A949" s="5"/>
      <c r="B949" s="2"/>
      <c r="C949" s="2" t="s">
        <v>646</v>
      </c>
      <c r="D949" s="2"/>
      <c r="E949" s="2"/>
      <c r="F949" s="2"/>
      <c r="G949" s="2"/>
      <c r="H949" s="2"/>
      <c r="I949" s="2"/>
    </row>
    <row r="950">
      <c r="A950" s="5"/>
      <c r="B950" s="2"/>
      <c r="C950" s="2" t="s">
        <v>646</v>
      </c>
      <c r="D950" s="2"/>
      <c r="E950" s="2"/>
      <c r="F950" s="2"/>
      <c r="G950" s="2"/>
      <c r="H950" s="2"/>
      <c r="I950" s="2"/>
    </row>
    <row r="951">
      <c r="A951" s="5"/>
      <c r="B951" s="2"/>
      <c r="C951" s="2" t="s">
        <v>646</v>
      </c>
      <c r="D951" s="2"/>
      <c r="E951" s="2"/>
      <c r="F951" s="2"/>
      <c r="G951" s="2"/>
      <c r="H951" s="2"/>
      <c r="I951" s="2"/>
    </row>
    <row r="952">
      <c r="A952" s="5"/>
      <c r="B952" s="2"/>
      <c r="C952" s="2" t="s">
        <v>646</v>
      </c>
      <c r="D952" s="2"/>
      <c r="E952" s="2"/>
      <c r="F952" s="2"/>
      <c r="G952" s="2"/>
      <c r="H952" s="2"/>
      <c r="I952" s="2"/>
    </row>
    <row r="953">
      <c r="A953" s="5"/>
      <c r="B953" s="2"/>
      <c r="C953" s="2" t="s">
        <v>646</v>
      </c>
      <c r="D953" s="2"/>
      <c r="E953" s="2"/>
      <c r="F953" s="2"/>
      <c r="G953" s="2"/>
      <c r="H953" s="2"/>
      <c r="I953" s="2"/>
    </row>
    <row r="954">
      <c r="A954" s="5"/>
      <c r="B954" s="2"/>
      <c r="C954" s="2" t="s">
        <v>646</v>
      </c>
      <c r="D954" s="2"/>
      <c r="E954" s="2"/>
      <c r="F954" s="2"/>
      <c r="G954" s="2"/>
      <c r="H954" s="2"/>
      <c r="I954" s="2"/>
    </row>
    <row r="955">
      <c r="A955" s="5"/>
      <c r="B955" s="2"/>
      <c r="C955" s="2" t="s">
        <v>646</v>
      </c>
      <c r="D955" s="2"/>
      <c r="E955" s="2"/>
      <c r="F955" s="2"/>
      <c r="G955" s="2"/>
      <c r="H955" s="2"/>
      <c r="I955" s="2"/>
    </row>
    <row r="956">
      <c r="A956" s="5"/>
      <c r="B956" s="2"/>
      <c r="C956" s="2" t="s">
        <v>646</v>
      </c>
      <c r="D956" s="2"/>
      <c r="E956" s="2"/>
      <c r="F956" s="2"/>
      <c r="G956" s="2"/>
      <c r="H956" s="2"/>
      <c r="I956" s="2"/>
    </row>
    <row r="957">
      <c r="A957" s="5"/>
      <c r="B957" s="2"/>
      <c r="C957" s="2" t="s">
        <v>646</v>
      </c>
      <c r="D957" s="2"/>
      <c r="E957" s="2"/>
      <c r="F957" s="2"/>
      <c r="G957" s="2"/>
      <c r="H957" s="2"/>
      <c r="I957" s="2"/>
    </row>
    <row r="958">
      <c r="A958" s="5"/>
      <c r="B958" s="2"/>
      <c r="C958" s="2" t="s">
        <v>646</v>
      </c>
      <c r="D958" s="2"/>
      <c r="E958" s="2"/>
      <c r="F958" s="2"/>
      <c r="G958" s="2"/>
      <c r="H958" s="2"/>
      <c r="I958" s="2"/>
    </row>
    <row r="959">
      <c r="A959" s="5"/>
      <c r="B959" s="2"/>
      <c r="C959" s="2" t="s">
        <v>646</v>
      </c>
      <c r="D959" s="2"/>
      <c r="E959" s="2"/>
      <c r="F959" s="2"/>
      <c r="G959" s="2"/>
      <c r="H959" s="2"/>
      <c r="I959" s="2"/>
    </row>
    <row r="960">
      <c r="A960" s="5"/>
      <c r="B960" s="2"/>
      <c r="C960" s="2" t="s">
        <v>646</v>
      </c>
      <c r="D960" s="2"/>
      <c r="E960" s="2"/>
      <c r="F960" s="2"/>
      <c r="G960" s="2"/>
      <c r="H960" s="2"/>
      <c r="I960" s="2"/>
    </row>
    <row r="961">
      <c r="A961" s="5"/>
      <c r="B961" s="2"/>
      <c r="C961" s="2" t="s">
        <v>646</v>
      </c>
      <c r="D961" s="2"/>
      <c r="E961" s="2"/>
      <c r="F961" s="2"/>
      <c r="G961" s="2"/>
      <c r="H961" s="2"/>
      <c r="I961" s="2"/>
    </row>
    <row r="962">
      <c r="A962" s="5"/>
      <c r="B962" s="2"/>
      <c r="C962" s="2" t="s">
        <v>646</v>
      </c>
      <c r="D962" s="2"/>
      <c r="E962" s="2"/>
      <c r="F962" s="2"/>
      <c r="G962" s="2"/>
      <c r="H962" s="2"/>
      <c r="I962" s="2"/>
    </row>
    <row r="963">
      <c r="A963" s="5"/>
      <c r="B963" s="2"/>
      <c r="C963" s="2" t="s">
        <v>646</v>
      </c>
      <c r="D963" s="2"/>
      <c r="E963" s="2"/>
      <c r="F963" s="2"/>
      <c r="G963" s="2"/>
      <c r="H963" s="2"/>
      <c r="I963" s="2"/>
    </row>
    <row r="964">
      <c r="A964" s="5"/>
      <c r="B964" s="2"/>
      <c r="C964" s="2" t="s">
        <v>646</v>
      </c>
      <c r="D964" s="2"/>
      <c r="E964" s="2"/>
      <c r="F964" s="2"/>
      <c r="G964" s="2"/>
      <c r="H964" s="2"/>
      <c r="I964" s="2"/>
    </row>
    <row r="965">
      <c r="A965" s="5"/>
      <c r="B965" s="2"/>
      <c r="C965" s="2" t="s">
        <v>646</v>
      </c>
      <c r="D965" s="2"/>
      <c r="E965" s="2"/>
      <c r="F965" s="2"/>
      <c r="G965" s="2"/>
      <c r="H965" s="2"/>
      <c r="I965" s="2"/>
    </row>
    <row r="966">
      <c r="A966" s="5"/>
      <c r="B966" s="2"/>
      <c r="C966" s="2" t="s">
        <v>646</v>
      </c>
      <c r="D966" s="2"/>
      <c r="E966" s="2"/>
      <c r="F966" s="2"/>
      <c r="G966" s="2"/>
      <c r="H966" s="2"/>
      <c r="I966" s="2"/>
    </row>
    <row r="967">
      <c r="A967" s="5"/>
      <c r="B967" s="2"/>
      <c r="C967" s="2" t="s">
        <v>646</v>
      </c>
      <c r="D967" s="2"/>
      <c r="E967" s="2"/>
      <c r="F967" s="2"/>
      <c r="G967" s="2"/>
      <c r="H967" s="2"/>
      <c r="I967" s="2"/>
    </row>
    <row r="968">
      <c r="A968" s="5"/>
      <c r="B968" s="2"/>
      <c r="C968" s="2" t="s">
        <v>646</v>
      </c>
      <c r="D968" s="2"/>
      <c r="E968" s="2"/>
      <c r="F968" s="2"/>
      <c r="G968" s="2"/>
      <c r="H968" s="2"/>
      <c r="I968" s="2"/>
    </row>
    <row r="969">
      <c r="A969" s="5"/>
      <c r="B969" s="2"/>
      <c r="C969" s="2" t="s">
        <v>646</v>
      </c>
      <c r="D969" s="2"/>
      <c r="E969" s="2"/>
      <c r="F969" s="2"/>
      <c r="G969" s="2"/>
      <c r="H969" s="2"/>
      <c r="I969" s="2"/>
    </row>
    <row r="970">
      <c r="A970" s="5"/>
      <c r="B970" s="2"/>
      <c r="C970" s="2" t="s">
        <v>646</v>
      </c>
      <c r="D970" s="2"/>
      <c r="E970" s="2"/>
      <c r="F970" s="2"/>
      <c r="G970" s="2"/>
      <c r="H970" s="2"/>
      <c r="I970" s="2"/>
    </row>
    <row r="971">
      <c r="A971" s="5"/>
      <c r="B971" s="2"/>
      <c r="C971" s="2" t="s">
        <v>646</v>
      </c>
      <c r="D971" s="2"/>
      <c r="E971" s="2"/>
      <c r="F971" s="2"/>
      <c r="G971" s="2"/>
      <c r="H971" s="2"/>
      <c r="I971" s="2"/>
    </row>
    <row r="972">
      <c r="A972" s="5"/>
      <c r="B972" s="2"/>
      <c r="C972" s="2" t="s">
        <v>646</v>
      </c>
      <c r="D972" s="2"/>
      <c r="E972" s="2"/>
      <c r="F972" s="2"/>
      <c r="G972" s="2"/>
      <c r="H972" s="2"/>
      <c r="I972" s="2"/>
    </row>
    <row r="973">
      <c r="A973" s="5"/>
      <c r="B973" s="2"/>
      <c r="C973" s="2" t="s">
        <v>646</v>
      </c>
      <c r="D973" s="2"/>
      <c r="E973" s="2"/>
      <c r="F973" s="2"/>
      <c r="G973" s="2"/>
      <c r="H973" s="2"/>
      <c r="I973" s="2"/>
    </row>
    <row r="974">
      <c r="A974" s="5"/>
      <c r="B974" s="2"/>
      <c r="C974" s="2" t="s">
        <v>646</v>
      </c>
      <c r="D974" s="2"/>
      <c r="E974" s="2"/>
      <c r="F974" s="2"/>
      <c r="G974" s="2"/>
      <c r="H974" s="2"/>
      <c r="I974" s="2"/>
    </row>
    <row r="975">
      <c r="A975" s="5"/>
      <c r="B975" s="2"/>
      <c r="C975" s="2" t="s">
        <v>646</v>
      </c>
      <c r="D975" s="2"/>
      <c r="E975" s="2"/>
      <c r="F975" s="2"/>
      <c r="G975" s="2"/>
      <c r="H975" s="2"/>
      <c r="I975" s="2"/>
    </row>
    <row r="976">
      <c r="A976" s="5"/>
      <c r="B976" s="2"/>
      <c r="C976" s="2" t="s">
        <v>646</v>
      </c>
      <c r="D976" s="2"/>
      <c r="E976" s="2"/>
      <c r="F976" s="2"/>
      <c r="G976" s="2"/>
      <c r="H976" s="2"/>
      <c r="I976" s="2"/>
    </row>
    <row r="977">
      <c r="A977" s="5"/>
      <c r="B977" s="2"/>
      <c r="C977" s="2" t="s">
        <v>646</v>
      </c>
      <c r="D977" s="2"/>
      <c r="E977" s="2"/>
      <c r="F977" s="2"/>
      <c r="G977" s="2"/>
      <c r="H977" s="2"/>
      <c r="I977" s="2"/>
    </row>
    <row r="978">
      <c r="A978" s="5"/>
      <c r="B978" s="2"/>
      <c r="C978" s="2" t="s">
        <v>646</v>
      </c>
      <c r="D978" s="2"/>
      <c r="E978" s="2"/>
      <c r="F978" s="2"/>
      <c r="G978" s="2"/>
      <c r="H978" s="2"/>
      <c r="I978" s="2"/>
    </row>
    <row r="979">
      <c r="A979" s="5"/>
      <c r="B979" s="2"/>
      <c r="C979" s="2" t="s">
        <v>646</v>
      </c>
      <c r="D979" s="2"/>
      <c r="E979" s="2"/>
      <c r="F979" s="2"/>
      <c r="G979" s="2"/>
      <c r="H979" s="2"/>
      <c r="I979" s="2"/>
    </row>
    <row r="980">
      <c r="A980" s="5"/>
      <c r="B980" s="2"/>
      <c r="C980" s="2" t="s">
        <v>646</v>
      </c>
      <c r="D980" s="2"/>
      <c r="E980" s="2"/>
      <c r="F980" s="2"/>
      <c r="G980" s="2"/>
      <c r="H980" s="2"/>
      <c r="I980" s="2"/>
    </row>
    <row r="981">
      <c r="A981" s="5"/>
      <c r="B981" s="2"/>
      <c r="C981" s="2" t="s">
        <v>646</v>
      </c>
      <c r="D981" s="2"/>
      <c r="E981" s="2"/>
      <c r="F981" s="2"/>
      <c r="G981" s="2"/>
      <c r="H981" s="2"/>
      <c r="I981" s="2"/>
    </row>
    <row r="982">
      <c r="A982" s="5"/>
      <c r="B982" s="2"/>
      <c r="C982" s="2" t="s">
        <v>646</v>
      </c>
      <c r="D982" s="2"/>
      <c r="E982" s="2"/>
      <c r="F982" s="2"/>
      <c r="G982" s="2"/>
      <c r="H982" s="2"/>
      <c r="I982" s="2"/>
    </row>
    <row r="983">
      <c r="A983" s="5"/>
      <c r="B983" s="2"/>
      <c r="C983" s="2" t="s">
        <v>646</v>
      </c>
      <c r="D983" s="2"/>
      <c r="E983" s="2"/>
      <c r="F983" s="2"/>
      <c r="G983" s="2"/>
      <c r="H983" s="2"/>
      <c r="I983" s="2"/>
    </row>
    <row r="984">
      <c r="A984" s="5"/>
      <c r="B984" s="2"/>
      <c r="C984" s="2" t="s">
        <v>646</v>
      </c>
      <c r="D984" s="2"/>
      <c r="E984" s="2"/>
      <c r="F984" s="2"/>
      <c r="G984" s="2"/>
      <c r="H984" s="2"/>
      <c r="I984" s="2"/>
    </row>
    <row r="985">
      <c r="A985" s="5"/>
      <c r="B985" s="2"/>
      <c r="C985" s="2" t="s">
        <v>646</v>
      </c>
      <c r="D985" s="2"/>
      <c r="E985" s="2"/>
      <c r="F985" s="2"/>
      <c r="G985" s="2"/>
      <c r="H985" s="2"/>
      <c r="I985" s="2"/>
    </row>
    <row r="986">
      <c r="A986" s="5"/>
      <c r="B986" s="2"/>
      <c r="C986" s="2" t="s">
        <v>646</v>
      </c>
      <c r="D986" s="2"/>
      <c r="E986" s="2"/>
      <c r="F986" s="2"/>
      <c r="G986" s="2"/>
      <c r="H986" s="2"/>
      <c r="I986" s="2"/>
    </row>
    <row r="987">
      <c r="A987" s="5"/>
      <c r="B987" s="2"/>
      <c r="C987" s="2" t="s">
        <v>646</v>
      </c>
      <c r="D987" s="2"/>
      <c r="E987" s="2"/>
      <c r="F987" s="2"/>
      <c r="G987" s="2"/>
      <c r="H987" s="2"/>
      <c r="I987" s="2"/>
    </row>
    <row r="988">
      <c r="A988" s="5"/>
      <c r="B988" s="2"/>
      <c r="C988" s="2" t="s">
        <v>646</v>
      </c>
      <c r="D988" s="2"/>
      <c r="E988" s="2"/>
      <c r="F988" s="2"/>
      <c r="G988" s="2"/>
      <c r="H988" s="2"/>
      <c r="I988" s="2"/>
    </row>
    <row r="989">
      <c r="A989" s="5"/>
      <c r="B989" s="2"/>
      <c r="C989" s="2" t="s">
        <v>646</v>
      </c>
      <c r="D989" s="2"/>
      <c r="E989" s="2"/>
      <c r="F989" s="2"/>
      <c r="G989" s="2"/>
      <c r="H989" s="2"/>
      <c r="I989" s="2"/>
    </row>
    <row r="990">
      <c r="A990" s="5"/>
      <c r="B990" s="2"/>
      <c r="C990" s="2" t="s">
        <v>646</v>
      </c>
      <c r="D990" s="2"/>
      <c r="E990" s="2"/>
      <c r="F990" s="2"/>
      <c r="G990" s="2"/>
      <c r="H990" s="2"/>
      <c r="I990" s="2"/>
    </row>
    <row r="991">
      <c r="A991" s="5"/>
      <c r="B991" s="2"/>
      <c r="C991" s="2" t="s">
        <v>646</v>
      </c>
      <c r="D991" s="2"/>
      <c r="E991" s="2"/>
      <c r="F991" s="2"/>
      <c r="G991" s="2"/>
      <c r="H991" s="2"/>
      <c r="I991" s="2"/>
    </row>
    <row r="992">
      <c r="A992" s="5"/>
      <c r="B992" s="2"/>
      <c r="C992" s="2" t="s">
        <v>646</v>
      </c>
      <c r="D992" s="2"/>
      <c r="E992" s="2"/>
      <c r="F992" s="2"/>
      <c r="G992" s="2"/>
      <c r="H992" s="2"/>
      <c r="I992" s="2"/>
    </row>
    <row r="993">
      <c r="A993" s="5"/>
      <c r="B993" s="2"/>
      <c r="C993" s="2" t="s">
        <v>646</v>
      </c>
      <c r="D993" s="2"/>
      <c r="E993" s="2"/>
      <c r="F993" s="2"/>
      <c r="G993" s="2"/>
      <c r="H993" s="2"/>
      <c r="I993" s="2"/>
    </row>
    <row r="994">
      <c r="A994" s="5"/>
      <c r="B994" s="2"/>
      <c r="C994" s="2" t="s">
        <v>646</v>
      </c>
      <c r="D994" s="2"/>
      <c r="E994" s="2"/>
      <c r="F994" s="2"/>
      <c r="G994" s="2"/>
      <c r="H994" s="2"/>
      <c r="I994" s="2"/>
    </row>
    <row r="995">
      <c r="A995" s="5"/>
      <c r="B995" s="2"/>
      <c r="C995" s="2" t="s">
        <v>646</v>
      </c>
      <c r="D995" s="2"/>
      <c r="E995" s="2"/>
      <c r="F995" s="2"/>
      <c r="G995" s="2"/>
      <c r="H995" s="2"/>
      <c r="I995" s="2"/>
    </row>
    <row r="996">
      <c r="A996" s="5"/>
      <c r="B996" s="2"/>
      <c r="C996" s="2" t="s">
        <v>646</v>
      </c>
      <c r="D996" s="2"/>
      <c r="E996" s="2"/>
      <c r="F996" s="2"/>
      <c r="G996" s="2"/>
      <c r="H996" s="2"/>
      <c r="I996" s="2"/>
    </row>
    <row r="997">
      <c r="A997" s="5"/>
      <c r="B997" s="2"/>
      <c r="C997" s="2" t="s">
        <v>646</v>
      </c>
      <c r="D997" s="2"/>
      <c r="E997" s="2"/>
      <c r="F997" s="2"/>
      <c r="G997" s="2"/>
      <c r="H997" s="2"/>
      <c r="I997" s="2"/>
    </row>
    <row r="998">
      <c r="A998" s="5"/>
      <c r="B998" s="2"/>
      <c r="C998" s="2" t="s">
        <v>646</v>
      </c>
      <c r="D998" s="2"/>
      <c r="E998" s="2"/>
      <c r="F998" s="2"/>
      <c r="G998" s="2"/>
      <c r="H998" s="2"/>
      <c r="I998" s="2"/>
    </row>
    <row r="999">
      <c r="A999" s="5"/>
      <c r="B999" s="2"/>
      <c r="C999" s="2" t="s">
        <v>646</v>
      </c>
      <c r="D999" s="2"/>
      <c r="E999" s="2"/>
      <c r="F999" s="2"/>
      <c r="G999" s="2"/>
      <c r="H999" s="2"/>
      <c r="I999" s="2"/>
    </row>
    <row r="1000">
      <c r="A1000" s="5"/>
      <c r="B1000" s="2"/>
      <c r="C1000" s="2" t="s">
        <v>646</v>
      </c>
      <c r="D1000" s="2"/>
      <c r="E1000" s="2"/>
      <c r="F1000" s="2"/>
      <c r="G1000" s="2"/>
      <c r="H1000" s="2"/>
      <c r="I1000" s="2"/>
    </row>
    <row r="1001">
      <c r="A1001" s="5"/>
      <c r="B1001" s="2"/>
      <c r="C1001" s="2" t="s">
        <v>646</v>
      </c>
      <c r="D1001" s="2"/>
      <c r="E1001" s="2"/>
      <c r="F1001" s="2"/>
      <c r="G1001" s="2"/>
      <c r="H1001" s="2"/>
      <c r="I1001" s="2"/>
    </row>
    <row r="1002">
      <c r="A1002" s="5"/>
      <c r="B1002" s="2"/>
      <c r="C1002" s="2" t="s">
        <v>646</v>
      </c>
      <c r="D1002" s="2"/>
      <c r="E1002" s="2"/>
      <c r="F1002" s="2"/>
      <c r="G1002" s="2"/>
      <c r="H1002" s="2"/>
      <c r="I1002" s="2"/>
    </row>
    <row r="1003">
      <c r="A1003" s="5"/>
      <c r="B1003" s="2"/>
      <c r="C1003" s="2" t="s">
        <v>646</v>
      </c>
      <c r="D1003" s="2"/>
      <c r="E1003" s="2"/>
      <c r="F1003" s="2"/>
      <c r="G1003" s="2"/>
      <c r="H1003" s="2"/>
      <c r="I1003" s="2"/>
    </row>
    <row r="1004">
      <c r="A1004" s="5"/>
      <c r="B1004" s="2"/>
      <c r="C1004" s="2" t="s">
        <v>646</v>
      </c>
      <c r="D1004" s="2"/>
      <c r="E1004" s="2"/>
      <c r="F1004" s="2"/>
      <c r="G1004" s="2"/>
      <c r="H1004" s="2"/>
      <c r="I1004" s="2"/>
    </row>
    <row r="1005">
      <c r="A1005" s="5"/>
      <c r="B1005" s="2"/>
      <c r="C1005" s="2" t="s">
        <v>646</v>
      </c>
      <c r="D1005" s="2"/>
      <c r="E1005" s="2"/>
      <c r="F1005" s="2"/>
      <c r="G1005" s="2"/>
      <c r="H1005" s="2"/>
      <c r="I1005" s="2"/>
    </row>
    <row r="1006">
      <c r="A1006" s="5"/>
      <c r="B1006" s="2"/>
      <c r="C1006" s="2" t="s">
        <v>646</v>
      </c>
      <c r="D1006" s="2"/>
      <c r="E1006" s="2"/>
      <c r="F1006" s="2"/>
      <c r="G1006" s="2"/>
      <c r="H1006" s="2"/>
      <c r="I1006" s="2"/>
    </row>
    <row r="1007">
      <c r="A1007" s="5"/>
      <c r="B1007" s="2"/>
      <c r="C1007" s="2" t="s">
        <v>646</v>
      </c>
      <c r="D1007" s="2"/>
      <c r="E1007" s="2"/>
      <c r="F1007" s="2"/>
      <c r="G1007" s="2"/>
      <c r="H1007" s="2"/>
      <c r="I1007" s="2"/>
    </row>
    <row r="1008">
      <c r="A1008" s="5"/>
      <c r="B1008" s="2"/>
      <c r="C1008" s="2" t="s">
        <v>646</v>
      </c>
      <c r="D1008" s="2"/>
      <c r="E1008" s="2"/>
      <c r="F1008" s="2"/>
      <c r="G1008" s="2"/>
      <c r="H1008" s="2"/>
      <c r="I1008" s="2"/>
    </row>
    <row r="1009">
      <c r="A1009" s="5"/>
      <c r="B1009" s="2"/>
      <c r="C1009" s="2" t="s">
        <v>646</v>
      </c>
      <c r="D1009" s="2"/>
      <c r="E1009" s="2"/>
      <c r="F1009" s="2"/>
      <c r="G1009" s="2"/>
      <c r="H1009" s="2"/>
      <c r="I1009" s="2"/>
    </row>
    <row r="1010">
      <c r="A1010" s="5"/>
      <c r="B1010" s="2"/>
      <c r="C1010" s="2" t="s">
        <v>646</v>
      </c>
      <c r="D1010" s="2"/>
      <c r="E1010" s="2"/>
      <c r="F1010" s="2"/>
      <c r="G1010" s="2"/>
      <c r="H1010" s="2"/>
      <c r="I1010" s="2"/>
    </row>
    <row r="1011">
      <c r="A1011" s="5"/>
      <c r="B1011" s="2"/>
      <c r="C1011" s="2" t="s">
        <v>646</v>
      </c>
      <c r="D1011" s="2"/>
      <c r="E1011" s="2"/>
      <c r="F1011" s="2"/>
      <c r="G1011" s="2"/>
      <c r="H1011" s="2"/>
      <c r="I1011" s="2"/>
    </row>
    <row r="1012">
      <c r="A1012" s="5"/>
      <c r="B1012" s="2"/>
      <c r="C1012" s="2" t="s">
        <v>646</v>
      </c>
      <c r="D1012" s="2"/>
      <c r="E1012" s="2"/>
      <c r="F1012" s="2"/>
      <c r="G1012" s="2"/>
      <c r="H1012" s="2"/>
      <c r="I1012" s="2"/>
    </row>
    <row r="1013">
      <c r="A1013" s="5"/>
      <c r="B1013" s="2"/>
      <c r="C1013" s="2" t="s">
        <v>646</v>
      </c>
      <c r="D1013" s="2"/>
      <c r="E1013" s="2"/>
      <c r="F1013" s="2"/>
      <c r="G1013" s="2"/>
      <c r="H1013" s="2"/>
      <c r="I1013" s="2"/>
    </row>
    <row r="1014">
      <c r="A1014" s="5"/>
      <c r="B1014" s="2"/>
      <c r="C1014" s="2" t="s">
        <v>646</v>
      </c>
      <c r="D1014" s="2"/>
      <c r="E1014" s="2"/>
      <c r="F1014" s="2"/>
      <c r="G1014" s="2"/>
      <c r="H1014" s="2"/>
      <c r="I1014" s="2"/>
    </row>
    <row r="1015">
      <c r="A1015" s="5"/>
      <c r="B1015" s="2"/>
      <c r="C1015" s="2" t="s">
        <v>646</v>
      </c>
      <c r="D1015" s="2"/>
      <c r="E1015" s="2"/>
      <c r="F1015" s="2"/>
      <c r="G1015" s="2"/>
      <c r="H1015" s="2"/>
      <c r="I1015" s="2"/>
    </row>
    <row r="1016">
      <c r="A1016" s="5"/>
      <c r="B1016" s="2"/>
      <c r="C1016" s="2" t="s">
        <v>646</v>
      </c>
      <c r="D1016" s="2"/>
      <c r="E1016" s="2"/>
      <c r="F1016" s="2"/>
      <c r="G1016" s="2"/>
      <c r="H1016" s="2"/>
      <c r="I1016" s="2"/>
    </row>
    <row r="1017">
      <c r="A1017" s="5"/>
      <c r="B1017" s="2"/>
      <c r="C1017" s="2" t="s">
        <v>646</v>
      </c>
      <c r="D1017" s="2"/>
      <c r="E1017" s="2"/>
      <c r="F1017" s="2"/>
      <c r="G1017" s="2"/>
      <c r="H1017" s="2"/>
      <c r="I1017" s="2"/>
    </row>
    <row r="1018">
      <c r="A1018" s="5"/>
      <c r="B1018" s="2"/>
      <c r="C1018" s="2" t="s">
        <v>646</v>
      </c>
      <c r="D1018" s="2"/>
      <c r="E1018" s="2"/>
      <c r="F1018" s="2"/>
      <c r="G1018" s="2"/>
      <c r="H1018" s="2"/>
      <c r="I1018" s="2"/>
    </row>
    <row r="1019">
      <c r="A1019" s="5"/>
      <c r="B1019" s="2"/>
      <c r="C1019" s="2" t="s">
        <v>646</v>
      </c>
      <c r="D1019" s="2"/>
      <c r="E1019" s="2"/>
      <c r="F1019" s="2"/>
      <c r="G1019" s="2"/>
      <c r="H1019" s="2"/>
      <c r="I1019" s="2"/>
    </row>
    <row r="1020">
      <c r="A1020" s="5"/>
      <c r="B1020" s="2"/>
      <c r="C1020" s="2" t="s">
        <v>646</v>
      </c>
      <c r="D1020" s="2"/>
      <c r="E1020" s="2"/>
      <c r="F1020" s="2"/>
      <c r="G1020" s="2"/>
      <c r="H1020" s="2"/>
      <c r="I1020" s="2"/>
    </row>
    <row r="1021">
      <c r="A1021" s="5"/>
      <c r="B1021" s="2"/>
      <c r="C1021" s="2" t="s">
        <v>646</v>
      </c>
      <c r="D1021" s="2"/>
      <c r="E1021" s="2"/>
      <c r="F1021" s="2"/>
      <c r="G1021" s="2"/>
      <c r="H1021" s="2"/>
      <c r="I1021" s="2"/>
    </row>
    <row r="1022">
      <c r="A1022" s="5"/>
      <c r="B1022" s="2"/>
      <c r="C1022" s="2" t="s">
        <v>646</v>
      </c>
      <c r="D1022" s="2"/>
      <c r="E1022" s="2"/>
      <c r="F1022" s="2"/>
      <c r="G1022" s="2"/>
      <c r="H1022" s="2"/>
      <c r="I1022" s="2"/>
    </row>
    <row r="1023">
      <c r="A1023" s="5"/>
      <c r="B1023" s="2"/>
      <c r="C1023" s="2" t="s">
        <v>646</v>
      </c>
      <c r="D1023" s="2"/>
      <c r="E1023" s="2"/>
      <c r="F1023" s="2"/>
      <c r="G1023" s="2"/>
      <c r="H1023" s="2"/>
      <c r="I1023" s="2"/>
    </row>
    <row r="1024">
      <c r="A1024" s="5"/>
      <c r="B1024" s="2"/>
      <c r="C1024" s="2" t="s">
        <v>646</v>
      </c>
      <c r="D1024" s="2"/>
      <c r="E1024" s="2"/>
      <c r="F1024" s="2"/>
      <c r="G1024" s="2"/>
      <c r="H1024" s="2"/>
      <c r="I1024" s="2"/>
    </row>
    <row r="1025">
      <c r="A1025" s="5"/>
      <c r="B1025" s="2"/>
      <c r="C1025" s="2" t="s">
        <v>646</v>
      </c>
      <c r="D1025" s="2"/>
      <c r="E1025" s="2"/>
      <c r="F1025" s="2"/>
      <c r="G1025" s="2"/>
      <c r="H1025" s="2"/>
      <c r="I1025" s="2"/>
    </row>
    <row r="1026">
      <c r="A1026" s="5"/>
      <c r="B1026" s="2"/>
      <c r="C1026" s="2" t="s">
        <v>646</v>
      </c>
      <c r="D1026" s="2"/>
      <c r="E1026" s="2"/>
      <c r="F1026" s="2"/>
      <c r="G1026" s="2"/>
      <c r="H1026" s="2"/>
      <c r="I1026" s="2"/>
    </row>
    <row r="1027">
      <c r="A1027" s="5"/>
      <c r="B1027" s="2"/>
      <c r="C1027" s="2" t="s">
        <v>646</v>
      </c>
      <c r="D1027" s="2"/>
      <c r="E1027" s="2"/>
      <c r="F1027" s="2"/>
      <c r="G1027" s="2"/>
      <c r="H1027" s="2"/>
      <c r="I1027" s="2"/>
    </row>
    <row r="1028">
      <c r="A1028" s="5"/>
      <c r="B1028" s="2"/>
      <c r="C1028" s="2" t="s">
        <v>646</v>
      </c>
      <c r="D1028" s="2"/>
      <c r="E1028" s="2"/>
      <c r="F1028" s="2"/>
      <c r="G1028" s="2"/>
      <c r="H1028" s="2"/>
      <c r="I1028" s="2"/>
    </row>
    <row r="1029">
      <c r="A1029" s="5"/>
      <c r="B1029" s="2"/>
      <c r="C1029" s="2" t="s">
        <v>646</v>
      </c>
      <c r="D1029" s="2"/>
      <c r="E1029" s="2"/>
      <c r="F1029" s="2"/>
      <c r="G1029" s="2"/>
      <c r="H1029" s="2"/>
      <c r="I1029" s="2"/>
    </row>
    <row r="1030">
      <c r="A1030" s="5"/>
      <c r="B1030" s="2"/>
      <c r="C1030" s="2" t="s">
        <v>646</v>
      </c>
      <c r="D1030" s="2"/>
      <c r="E1030" s="2"/>
      <c r="F1030" s="2"/>
      <c r="G1030" s="2"/>
      <c r="H1030" s="2"/>
      <c r="I1030" s="2"/>
    </row>
    <row r="1031">
      <c r="A1031" s="5"/>
      <c r="B1031" s="2"/>
      <c r="C1031" s="2" t="s">
        <v>646</v>
      </c>
      <c r="D1031" s="2"/>
      <c r="E1031" s="2"/>
      <c r="F1031" s="2"/>
      <c r="G1031" s="2"/>
      <c r="H1031" s="2"/>
      <c r="I1031" s="2"/>
    </row>
    <row r="1032">
      <c r="A1032" s="5"/>
      <c r="B1032" s="2"/>
      <c r="C1032" s="2" t="s">
        <v>646</v>
      </c>
      <c r="D1032" s="2"/>
      <c r="E1032" s="2"/>
      <c r="F1032" s="2"/>
      <c r="G1032" s="2"/>
      <c r="H1032" s="2"/>
      <c r="I1032" s="2"/>
    </row>
    <row r="1033">
      <c r="A1033" s="5"/>
      <c r="B1033" s="2"/>
      <c r="C1033" s="2" t="s">
        <v>646</v>
      </c>
      <c r="D1033" s="2"/>
      <c r="E1033" s="2"/>
      <c r="F1033" s="2"/>
      <c r="G1033" s="2"/>
      <c r="H1033" s="2"/>
      <c r="I1033" s="2"/>
    </row>
    <row r="1034">
      <c r="A1034" s="5"/>
      <c r="B1034" s="2"/>
      <c r="C1034" s="2" t="s">
        <v>646</v>
      </c>
      <c r="D1034" s="2"/>
      <c r="E1034" s="2"/>
      <c r="F1034" s="2"/>
      <c r="G1034" s="2"/>
      <c r="H1034" s="2"/>
      <c r="I1034" s="2"/>
    </row>
    <row r="1035">
      <c r="A1035" s="5"/>
      <c r="B1035" s="2"/>
      <c r="C1035" s="2" t="s">
        <v>646</v>
      </c>
      <c r="D1035" s="2"/>
      <c r="E1035" s="2"/>
      <c r="F1035" s="2"/>
      <c r="G1035" s="2"/>
      <c r="H1035" s="2"/>
      <c r="I1035" s="2"/>
    </row>
    <row r="1036">
      <c r="A1036" s="5"/>
      <c r="B1036" s="2"/>
      <c r="C1036" s="2" t="s">
        <v>646</v>
      </c>
      <c r="D1036" s="2"/>
      <c r="E1036" s="2"/>
      <c r="F1036" s="2"/>
      <c r="G1036" s="2"/>
      <c r="H1036" s="2"/>
      <c r="I1036" s="2"/>
    </row>
    <row r="1037">
      <c r="A1037" s="5"/>
      <c r="B1037" s="2"/>
      <c r="C1037" s="2" t="s">
        <v>646</v>
      </c>
      <c r="D1037" s="2"/>
      <c r="E1037" s="2"/>
      <c r="F1037" s="2"/>
      <c r="G1037" s="2"/>
      <c r="H1037" s="2"/>
      <c r="I1037" s="2"/>
    </row>
    <row r="1038">
      <c r="A1038" s="5"/>
      <c r="B1038" s="2"/>
      <c r="C1038" s="2" t="s">
        <v>646</v>
      </c>
      <c r="D1038" s="2"/>
      <c r="E1038" s="2"/>
      <c r="F1038" s="2"/>
      <c r="G1038" s="2"/>
      <c r="H1038" s="2"/>
      <c r="I1038" s="2"/>
    </row>
    <row r="1039">
      <c r="A1039" s="5"/>
      <c r="B1039" s="2"/>
      <c r="C1039" s="2" t="s">
        <v>646</v>
      </c>
      <c r="D1039" s="2"/>
      <c r="E1039" s="2"/>
      <c r="F1039" s="2"/>
      <c r="G1039" s="2"/>
      <c r="H1039" s="2"/>
      <c r="I1039" s="2"/>
    </row>
    <row r="1040">
      <c r="A1040" s="5"/>
      <c r="B1040" s="2"/>
      <c r="C1040" s="2" t="s">
        <v>646</v>
      </c>
      <c r="D1040" s="2"/>
      <c r="E1040" s="2"/>
      <c r="F1040" s="2"/>
      <c r="G1040" s="2"/>
      <c r="H1040" s="2"/>
      <c r="I1040" s="2"/>
    </row>
    <row r="1041">
      <c r="A1041" s="5"/>
      <c r="B1041" s="2"/>
      <c r="C1041" s="2" t="s">
        <v>646</v>
      </c>
      <c r="D1041" s="2"/>
      <c r="E1041" s="2"/>
      <c r="F1041" s="2"/>
      <c r="G1041" s="2"/>
      <c r="H1041" s="2"/>
      <c r="I1041" s="2"/>
    </row>
    <row r="1042">
      <c r="A1042" s="5"/>
      <c r="B1042" s="2"/>
      <c r="C1042" s="2" t="s">
        <v>646</v>
      </c>
      <c r="D1042" s="2"/>
      <c r="E1042" s="2"/>
      <c r="F1042" s="2"/>
      <c r="G1042" s="2"/>
      <c r="H1042" s="2"/>
      <c r="I1042" s="2"/>
    </row>
    <row r="1043">
      <c r="A1043" s="5"/>
      <c r="B1043" s="2"/>
      <c r="C1043" s="2" t="s">
        <v>646</v>
      </c>
      <c r="D1043" s="2"/>
      <c r="E1043" s="2"/>
      <c r="F1043" s="2"/>
      <c r="G1043" s="2"/>
      <c r="H1043" s="2"/>
      <c r="I1043" s="2"/>
    </row>
    <row r="1044">
      <c r="A1044" s="5"/>
      <c r="B1044" s="2"/>
      <c r="C1044" s="2" t="s">
        <v>646</v>
      </c>
      <c r="D1044" s="2"/>
      <c r="E1044" s="2"/>
      <c r="F1044" s="2"/>
      <c r="G1044" s="2"/>
      <c r="H1044" s="2"/>
      <c r="I1044" s="2"/>
    </row>
    <row r="1045">
      <c r="A1045" s="5"/>
      <c r="B1045" s="2"/>
      <c r="C1045" s="2" t="s">
        <v>646</v>
      </c>
      <c r="D1045" s="2"/>
      <c r="E1045" s="2"/>
      <c r="F1045" s="2"/>
      <c r="G1045" s="2"/>
      <c r="H1045" s="2"/>
      <c r="I1045" s="2"/>
    </row>
    <row r="1046">
      <c r="A1046" s="5"/>
      <c r="B1046" s="2"/>
      <c r="C1046" s="2" t="s">
        <v>646</v>
      </c>
      <c r="D1046" s="2"/>
      <c r="E1046" s="2"/>
      <c r="F1046" s="2"/>
      <c r="G1046" s="2"/>
      <c r="H1046" s="2"/>
      <c r="I1046" s="2"/>
    </row>
    <row r="1047">
      <c r="A1047" s="5"/>
      <c r="B1047" s="2"/>
      <c r="C1047" s="2" t="s">
        <v>646</v>
      </c>
      <c r="D1047" s="2"/>
      <c r="E1047" s="2"/>
      <c r="F1047" s="2"/>
      <c r="G1047" s="2"/>
      <c r="H1047" s="2"/>
      <c r="I1047" s="2"/>
    </row>
    <row r="1048">
      <c r="A1048" s="5"/>
      <c r="B1048" s="2"/>
      <c r="C1048" s="2" t="s">
        <v>646</v>
      </c>
      <c r="D1048" s="2"/>
      <c r="E1048" s="2"/>
      <c r="F1048" s="2"/>
      <c r="G1048" s="2"/>
      <c r="H1048" s="2"/>
      <c r="I1048" s="2"/>
    </row>
    <row r="1049">
      <c r="A1049" s="5"/>
      <c r="B1049" s="2"/>
      <c r="C1049" s="2" t="s">
        <v>646</v>
      </c>
      <c r="D1049" s="2"/>
      <c r="E1049" s="2"/>
      <c r="F1049" s="2"/>
      <c r="G1049" s="2"/>
      <c r="H1049" s="2"/>
      <c r="I1049" s="2"/>
    </row>
    <row r="1050">
      <c r="A1050" s="5"/>
      <c r="B1050" s="2"/>
      <c r="C1050" s="2" t="s">
        <v>646</v>
      </c>
      <c r="D1050" s="2"/>
      <c r="E1050" s="2"/>
      <c r="F1050" s="2"/>
      <c r="G1050" s="2"/>
      <c r="H1050" s="2"/>
      <c r="I1050" s="2"/>
    </row>
    <row r="1051">
      <c r="A1051" s="5"/>
      <c r="B1051" s="2"/>
      <c r="C1051" s="2" t="s">
        <v>646</v>
      </c>
      <c r="D1051" s="2"/>
      <c r="E1051" s="2"/>
      <c r="F1051" s="2"/>
      <c r="G1051" s="2"/>
      <c r="H1051" s="2"/>
      <c r="I1051" s="2"/>
    </row>
    <row r="1052">
      <c r="A1052" s="5"/>
      <c r="B1052" s="2"/>
      <c r="C1052" s="2" t="s">
        <v>646</v>
      </c>
      <c r="D1052" s="2"/>
      <c r="E1052" s="2"/>
      <c r="F1052" s="2"/>
      <c r="G1052" s="2"/>
      <c r="H1052" s="2"/>
      <c r="I1052" s="2"/>
    </row>
    <row r="1053">
      <c r="A1053" s="5"/>
      <c r="B1053" s="2"/>
      <c r="C1053" s="2" t="s">
        <v>646</v>
      </c>
      <c r="D1053" s="2"/>
      <c r="E1053" s="2"/>
      <c r="F1053" s="2"/>
      <c r="G1053" s="2"/>
      <c r="H1053" s="2"/>
      <c r="I1053" s="2"/>
    </row>
    <row r="1054">
      <c r="A1054" s="5"/>
      <c r="B1054" s="2"/>
      <c r="C1054" s="2" t="s">
        <v>646</v>
      </c>
      <c r="D1054" s="2"/>
      <c r="E1054" s="2"/>
      <c r="F1054" s="2"/>
      <c r="G1054" s="2"/>
      <c r="H1054" s="2"/>
      <c r="I1054" s="2"/>
    </row>
    <row r="1055">
      <c r="A1055" s="5"/>
      <c r="B1055" s="2"/>
      <c r="C1055" s="2" t="s">
        <v>646</v>
      </c>
      <c r="D1055" s="2"/>
      <c r="E1055" s="2"/>
      <c r="F1055" s="2"/>
      <c r="G1055" s="2"/>
      <c r="H1055" s="2"/>
      <c r="I1055" s="2"/>
    </row>
    <row r="1056">
      <c r="A1056" s="5"/>
      <c r="B1056" s="2"/>
      <c r="C1056" s="2" t="s">
        <v>646</v>
      </c>
      <c r="D1056" s="2"/>
      <c r="E1056" s="2"/>
      <c r="F1056" s="2"/>
      <c r="G1056" s="2"/>
      <c r="H1056" s="2"/>
      <c r="I1056" s="2"/>
    </row>
    <row r="1057">
      <c r="A1057" s="5"/>
      <c r="B1057" s="2"/>
      <c r="C1057" s="2" t="s">
        <v>646</v>
      </c>
      <c r="D1057" s="2"/>
      <c r="E1057" s="2"/>
      <c r="F1057" s="2"/>
      <c r="G1057" s="2"/>
      <c r="H1057" s="2"/>
      <c r="I1057" s="2"/>
    </row>
    <row r="1058">
      <c r="A1058" s="5"/>
      <c r="B1058" s="2"/>
      <c r="C1058" s="2" t="s">
        <v>646</v>
      </c>
      <c r="D1058" s="2"/>
      <c r="E1058" s="2"/>
      <c r="F1058" s="2"/>
      <c r="G1058" s="2"/>
      <c r="H1058" s="2"/>
      <c r="I1058" s="2"/>
    </row>
    <row r="1059">
      <c r="A1059" s="5"/>
      <c r="B1059" s="2"/>
      <c r="C1059" s="2" t="s">
        <v>646</v>
      </c>
      <c r="D1059" s="2"/>
      <c r="E1059" s="2"/>
      <c r="F1059" s="2"/>
      <c r="G1059" s="2"/>
      <c r="H1059" s="2"/>
      <c r="I1059" s="2"/>
    </row>
    <row r="1060">
      <c r="A1060" s="5"/>
      <c r="B1060" s="2"/>
      <c r="C1060" s="2" t="s">
        <v>646</v>
      </c>
      <c r="D1060" s="2"/>
      <c r="E1060" s="2"/>
      <c r="F1060" s="2"/>
      <c r="G1060" s="2"/>
      <c r="H1060" s="2"/>
      <c r="I1060" s="2"/>
    </row>
    <row r="1061">
      <c r="A1061" s="5"/>
      <c r="B1061" s="2"/>
      <c r="C1061" s="2" t="s">
        <v>646</v>
      </c>
      <c r="D1061" s="2"/>
      <c r="E1061" s="2"/>
      <c r="F1061" s="2"/>
      <c r="G1061" s="2"/>
      <c r="H1061" s="2"/>
      <c r="I1061" s="2"/>
    </row>
    <row r="1062">
      <c r="A1062" s="5"/>
      <c r="B1062" s="2"/>
      <c r="C1062" s="2" t="s">
        <v>646</v>
      </c>
      <c r="D1062" s="2"/>
      <c r="E1062" s="2"/>
      <c r="F1062" s="2"/>
      <c r="G1062" s="2"/>
      <c r="H1062" s="2"/>
      <c r="I1062" s="2"/>
    </row>
    <row r="1063">
      <c r="A1063" s="5"/>
      <c r="B1063" s="2"/>
      <c r="C1063" s="2" t="s">
        <v>646</v>
      </c>
      <c r="D1063" s="2"/>
      <c r="E1063" s="2"/>
      <c r="F1063" s="2"/>
      <c r="G1063" s="2"/>
      <c r="H1063" s="2"/>
      <c r="I1063" s="2"/>
    </row>
    <row r="1064">
      <c r="A1064" s="5"/>
      <c r="B1064" s="2"/>
      <c r="C1064" s="2" t="s">
        <v>646</v>
      </c>
      <c r="D1064" s="2"/>
      <c r="E1064" s="2"/>
      <c r="F1064" s="2"/>
      <c r="G1064" s="2"/>
      <c r="H1064" s="2"/>
      <c r="I1064" s="2"/>
    </row>
    <row r="1065">
      <c r="A1065" s="5"/>
      <c r="B1065" s="2"/>
      <c r="C1065" s="2" t="s">
        <v>646</v>
      </c>
      <c r="D1065" s="2"/>
      <c r="E1065" s="2"/>
      <c r="F1065" s="2"/>
      <c r="G1065" s="2"/>
      <c r="H1065" s="2"/>
      <c r="I1065" s="2"/>
    </row>
    <row r="1066">
      <c r="A1066" s="5"/>
      <c r="B1066" s="2"/>
      <c r="C1066" s="2" t="s">
        <v>646</v>
      </c>
      <c r="D1066" s="2"/>
      <c r="E1066" s="2"/>
      <c r="F1066" s="2"/>
      <c r="G1066" s="2"/>
      <c r="H1066" s="2"/>
      <c r="I1066" s="2"/>
    </row>
    <row r="1067">
      <c r="A1067" s="5"/>
      <c r="B1067" s="2"/>
      <c r="C1067" s="2" t="s">
        <v>646</v>
      </c>
      <c r="D1067" s="2"/>
      <c r="E1067" s="2"/>
      <c r="F1067" s="2"/>
      <c r="G1067" s="2"/>
      <c r="H1067" s="2"/>
      <c r="I1067" s="2"/>
    </row>
    <row r="1068">
      <c r="A1068" s="5"/>
      <c r="B1068" s="2"/>
      <c r="C1068" s="2" t="s">
        <v>646</v>
      </c>
      <c r="D1068" s="2"/>
      <c r="E1068" s="2"/>
      <c r="F1068" s="2"/>
      <c r="G1068" s="2"/>
      <c r="H1068" s="2"/>
      <c r="I1068" s="2"/>
    </row>
    <row r="1069">
      <c r="A1069" s="5"/>
      <c r="B1069" s="2"/>
      <c r="C1069" s="2" t="s">
        <v>646</v>
      </c>
      <c r="D1069" s="2"/>
      <c r="E1069" s="2"/>
      <c r="F1069" s="2"/>
      <c r="G1069" s="2"/>
      <c r="H1069" s="2"/>
      <c r="I1069" s="2"/>
    </row>
    <row r="1070">
      <c r="A1070" s="5"/>
      <c r="B1070" s="2"/>
      <c r="C1070" s="2" t="s">
        <v>646</v>
      </c>
      <c r="D1070" s="2"/>
      <c r="E1070" s="2"/>
      <c r="F1070" s="2"/>
      <c r="G1070" s="2"/>
      <c r="H1070" s="2"/>
      <c r="I1070" s="2"/>
    </row>
    <row r="1071">
      <c r="A1071" s="5"/>
      <c r="B1071" s="2"/>
      <c r="C1071" s="2" t="s">
        <v>646</v>
      </c>
      <c r="D1071" s="2"/>
      <c r="E1071" s="2"/>
      <c r="F1071" s="2"/>
      <c r="G1071" s="2"/>
      <c r="H1071" s="2"/>
      <c r="I1071" s="2"/>
    </row>
    <row r="1072">
      <c r="A1072" s="5"/>
      <c r="B1072" s="2"/>
      <c r="C1072" s="2" t="s">
        <v>646</v>
      </c>
      <c r="D1072" s="2"/>
      <c r="E1072" s="2"/>
      <c r="F1072" s="2"/>
      <c r="G1072" s="2"/>
      <c r="H1072" s="2"/>
      <c r="I1072" s="2"/>
    </row>
    <row r="1073">
      <c r="A1073" s="5"/>
      <c r="B1073" s="2"/>
      <c r="C1073" s="2" t="s">
        <v>646</v>
      </c>
      <c r="D1073" s="2"/>
      <c r="E1073" s="2"/>
      <c r="F1073" s="2"/>
      <c r="G1073" s="2"/>
      <c r="H1073" s="2"/>
      <c r="I1073" s="2"/>
    </row>
    <row r="1074">
      <c r="A1074" s="5"/>
      <c r="B1074" s="2"/>
      <c r="C1074" s="2" t="s">
        <v>646</v>
      </c>
      <c r="D1074" s="2"/>
      <c r="E1074" s="2"/>
      <c r="F1074" s="2"/>
      <c r="G1074" s="2"/>
      <c r="H1074" s="2"/>
      <c r="I1074" s="2"/>
    </row>
    <row r="1075">
      <c r="A1075" s="5"/>
      <c r="B1075" s="2"/>
      <c r="C1075" s="2" t="s">
        <v>646</v>
      </c>
      <c r="D1075" s="2"/>
      <c r="E1075" s="2"/>
      <c r="F1075" s="2"/>
      <c r="G1075" s="2"/>
      <c r="H1075" s="2"/>
      <c r="I1075" s="2"/>
    </row>
    <row r="1076">
      <c r="A1076" s="5"/>
      <c r="B1076" s="2"/>
      <c r="C1076" s="2" t="s">
        <v>646</v>
      </c>
      <c r="D1076" s="2"/>
      <c r="E1076" s="2"/>
      <c r="F1076" s="2"/>
      <c r="G1076" s="2"/>
      <c r="H1076" s="2"/>
      <c r="I1076" s="2"/>
    </row>
    <row r="1077">
      <c r="A1077" s="5"/>
      <c r="B1077" s="2"/>
      <c r="C1077" s="2" t="s">
        <v>646</v>
      </c>
      <c r="D1077" s="2"/>
      <c r="E1077" s="2"/>
      <c r="F1077" s="2"/>
      <c r="G1077" s="2"/>
      <c r="H1077" s="2"/>
      <c r="I1077" s="2"/>
    </row>
    <row r="1078">
      <c r="A1078" s="5"/>
      <c r="B1078" s="2"/>
      <c r="C1078" s="2" t="s">
        <v>646</v>
      </c>
      <c r="D1078" s="2"/>
      <c r="E1078" s="2"/>
      <c r="F1078" s="2"/>
      <c r="G1078" s="2"/>
      <c r="H1078" s="2"/>
      <c r="I1078" s="2"/>
    </row>
    <row r="1079">
      <c r="A1079" s="5"/>
      <c r="B1079" s="2"/>
      <c r="C1079" s="2" t="s">
        <v>646</v>
      </c>
      <c r="D1079" s="2"/>
      <c r="E1079" s="2"/>
      <c r="F1079" s="2"/>
      <c r="G1079" s="2"/>
      <c r="H1079" s="2"/>
      <c r="I1079" s="2"/>
    </row>
    <row r="1080">
      <c r="A1080" s="5"/>
      <c r="B1080" s="2"/>
      <c r="C1080" s="2" t="s">
        <v>646</v>
      </c>
      <c r="D1080" s="2"/>
      <c r="E1080" s="2"/>
      <c r="F1080" s="2"/>
      <c r="G1080" s="2"/>
      <c r="H1080" s="2"/>
      <c r="I1080" s="2"/>
    </row>
    <row r="1081">
      <c r="A1081" s="5"/>
      <c r="B1081" s="2"/>
      <c r="C1081" s="2" t="s">
        <v>646</v>
      </c>
      <c r="D1081" s="2"/>
      <c r="E1081" s="2"/>
      <c r="F1081" s="2"/>
      <c r="G1081" s="2"/>
      <c r="H1081" s="2"/>
      <c r="I1081" s="2"/>
    </row>
    <row r="1082">
      <c r="A1082" s="5"/>
      <c r="B1082" s="2"/>
      <c r="C1082" s="2" t="s">
        <v>646</v>
      </c>
      <c r="D1082" s="2"/>
      <c r="E1082" s="2"/>
      <c r="F1082" s="2"/>
      <c r="G1082" s="2"/>
      <c r="H1082" s="2"/>
      <c r="I1082" s="2"/>
    </row>
    <row r="1083">
      <c r="A1083" s="5"/>
      <c r="B1083" s="2"/>
      <c r="C1083" s="2" t="s">
        <v>646</v>
      </c>
      <c r="D1083" s="2"/>
      <c r="E1083" s="2"/>
      <c r="F1083" s="2"/>
      <c r="G1083" s="2"/>
      <c r="H1083" s="2"/>
      <c r="I1083" s="2"/>
    </row>
    <row r="1084">
      <c r="A1084" s="5"/>
      <c r="B1084" s="2"/>
      <c r="C1084" s="2" t="s">
        <v>646</v>
      </c>
      <c r="D1084" s="2"/>
      <c r="E1084" s="2"/>
      <c r="F1084" s="2"/>
      <c r="G1084" s="2"/>
      <c r="H1084" s="2"/>
      <c r="I1084" s="2"/>
    </row>
    <row r="1085">
      <c r="A1085" s="5"/>
      <c r="B1085" s="2"/>
      <c r="C1085" s="2" t="s">
        <v>646</v>
      </c>
      <c r="D1085" s="2"/>
      <c r="E1085" s="2"/>
      <c r="F1085" s="2"/>
      <c r="G1085" s="2"/>
      <c r="H1085" s="2"/>
      <c r="I1085" s="2"/>
    </row>
    <row r="1086">
      <c r="A1086" s="5"/>
      <c r="B1086" s="2"/>
      <c r="C1086" s="2" t="s">
        <v>646</v>
      </c>
      <c r="D1086" s="2"/>
      <c r="E1086" s="2"/>
      <c r="F1086" s="2"/>
      <c r="G1086" s="2"/>
      <c r="H1086" s="2"/>
      <c r="I1086" s="2"/>
    </row>
    <row r="1087">
      <c r="A1087" s="5"/>
      <c r="B1087" s="2"/>
      <c r="C1087" s="2" t="s">
        <v>646</v>
      </c>
      <c r="D1087" s="2"/>
      <c r="E1087" s="2"/>
      <c r="F1087" s="2"/>
      <c r="G1087" s="2"/>
      <c r="H1087" s="2"/>
      <c r="I1087" s="2"/>
    </row>
    <row r="1088">
      <c r="A1088" s="5"/>
      <c r="B1088" s="2"/>
      <c r="C1088" s="2" t="s">
        <v>646</v>
      </c>
      <c r="D1088" s="2"/>
      <c r="E1088" s="2"/>
      <c r="F1088" s="2"/>
      <c r="G1088" s="2"/>
      <c r="H1088" s="2"/>
      <c r="I1088" s="2"/>
    </row>
    <row r="1089">
      <c r="A1089" s="5"/>
      <c r="B1089" s="2"/>
      <c r="C1089" s="2" t="s">
        <v>646</v>
      </c>
      <c r="D1089" s="2"/>
      <c r="E1089" s="2"/>
      <c r="F1089" s="2"/>
      <c r="G1089" s="2"/>
      <c r="H1089" s="2"/>
      <c r="I1089" s="2"/>
    </row>
    <row r="1090">
      <c r="A1090" s="5"/>
      <c r="B1090" s="2"/>
      <c r="C1090" s="2" t="s">
        <v>646</v>
      </c>
      <c r="D1090" s="2"/>
      <c r="E1090" s="2"/>
      <c r="F1090" s="2"/>
      <c r="G1090" s="2"/>
      <c r="H1090" s="2"/>
      <c r="I1090" s="2"/>
    </row>
    <row r="1091">
      <c r="A1091" s="5"/>
      <c r="B1091" s="2"/>
      <c r="C1091" s="2" t="s">
        <v>646</v>
      </c>
      <c r="D1091" s="2"/>
      <c r="E1091" s="2"/>
      <c r="F1091" s="2"/>
      <c r="G1091" s="2"/>
      <c r="H1091" s="2"/>
      <c r="I1091" s="2"/>
    </row>
    <row r="1092">
      <c r="A1092" s="5"/>
      <c r="B1092" s="2"/>
      <c r="C1092" s="2" t="s">
        <v>646</v>
      </c>
      <c r="D1092" s="2"/>
      <c r="E1092" s="2"/>
      <c r="F1092" s="2"/>
      <c r="G1092" s="2"/>
      <c r="H1092" s="2"/>
      <c r="I1092" s="2"/>
    </row>
    <row r="1093">
      <c r="A1093" s="5"/>
      <c r="B1093" s="2"/>
      <c r="C1093" s="2" t="s">
        <v>646</v>
      </c>
      <c r="D1093" s="2"/>
      <c r="E1093" s="2"/>
      <c r="F1093" s="2"/>
      <c r="G1093" s="2"/>
      <c r="H1093" s="2"/>
      <c r="I1093" s="2"/>
    </row>
    <row r="1094">
      <c r="A1094" s="5"/>
      <c r="B1094" s="2"/>
      <c r="C1094" s="2" t="s">
        <v>646</v>
      </c>
      <c r="D1094" s="2"/>
      <c r="E1094" s="2"/>
      <c r="F1094" s="2"/>
      <c r="G1094" s="2"/>
      <c r="H1094" s="2"/>
      <c r="I1094" s="2"/>
    </row>
    <row r="1095">
      <c r="A1095" s="5"/>
      <c r="B1095" s="2"/>
      <c r="C1095" s="2" t="s">
        <v>646</v>
      </c>
      <c r="D1095" s="2"/>
      <c r="E1095" s="2"/>
      <c r="F1095" s="2"/>
      <c r="G1095" s="2"/>
      <c r="H1095" s="2"/>
      <c r="I1095" s="2"/>
    </row>
    <row r="1096">
      <c r="A1096" s="5"/>
      <c r="B1096" s="2"/>
      <c r="C1096" s="2" t="s">
        <v>646</v>
      </c>
      <c r="D1096" s="2"/>
      <c r="E1096" s="2"/>
      <c r="F1096" s="2"/>
      <c r="G1096" s="2"/>
      <c r="H1096" s="2"/>
      <c r="I1096" s="2"/>
    </row>
    <row r="1097">
      <c r="A1097" s="5"/>
      <c r="B1097" s="2"/>
      <c r="C1097" s="2" t="s">
        <v>646</v>
      </c>
      <c r="D1097" s="2"/>
      <c r="E1097" s="2"/>
      <c r="F1097" s="2"/>
      <c r="G1097" s="2"/>
      <c r="H1097" s="2"/>
      <c r="I1097" s="2"/>
    </row>
    <row r="1098">
      <c r="A1098" s="5"/>
      <c r="B1098" s="2"/>
      <c r="C1098" s="2" t="s">
        <v>646</v>
      </c>
      <c r="D1098" s="2"/>
      <c r="E1098" s="2"/>
      <c r="F1098" s="2"/>
      <c r="G1098" s="2"/>
      <c r="H1098" s="2"/>
      <c r="I1098" s="2"/>
    </row>
    <row r="1099">
      <c r="A1099" s="5"/>
      <c r="B1099" s="2"/>
      <c r="C1099" s="2" t="s">
        <v>646</v>
      </c>
      <c r="D1099" s="2"/>
      <c r="E1099" s="2"/>
      <c r="F1099" s="2"/>
      <c r="G1099" s="2"/>
      <c r="H1099" s="2"/>
      <c r="I1099" s="2"/>
    </row>
    <row r="1100">
      <c r="A1100" s="5"/>
      <c r="B1100" s="2"/>
      <c r="C1100" s="2" t="s">
        <v>646</v>
      </c>
      <c r="D1100" s="2"/>
      <c r="E1100" s="2"/>
      <c r="F1100" s="2"/>
      <c r="G1100" s="2"/>
      <c r="H1100" s="2"/>
      <c r="I1100" s="2"/>
    </row>
    <row r="1101">
      <c r="A1101" s="5"/>
      <c r="B1101" s="2"/>
      <c r="C1101" s="2" t="s">
        <v>646</v>
      </c>
      <c r="D1101" s="2"/>
      <c r="E1101" s="2"/>
      <c r="F1101" s="2"/>
      <c r="G1101" s="2"/>
      <c r="H1101" s="2"/>
      <c r="I1101" s="2"/>
    </row>
    <row r="1102">
      <c r="A1102" s="5"/>
      <c r="B1102" s="2"/>
      <c r="C1102" s="2" t="s">
        <v>646</v>
      </c>
      <c r="D1102" s="2"/>
      <c r="E1102" s="2"/>
      <c r="F1102" s="2"/>
      <c r="G1102" s="2"/>
      <c r="H1102" s="2"/>
      <c r="I1102" s="2"/>
    </row>
    <row r="1103">
      <c r="A1103" s="5"/>
      <c r="B1103" s="2"/>
      <c r="C1103" s="2" t="s">
        <v>646</v>
      </c>
      <c r="D1103" s="2"/>
      <c r="E1103" s="2"/>
      <c r="F1103" s="2"/>
      <c r="G1103" s="2"/>
      <c r="H1103" s="2"/>
      <c r="I1103" s="2"/>
    </row>
    <row r="1104">
      <c r="A1104" s="5"/>
      <c r="B1104" s="2"/>
      <c r="C1104" s="2" t="s">
        <v>646</v>
      </c>
      <c r="D1104" s="2"/>
      <c r="E1104" s="2"/>
      <c r="F1104" s="2"/>
      <c r="G1104" s="2"/>
      <c r="H1104" s="2"/>
      <c r="I1104" s="2"/>
    </row>
    <row r="1105">
      <c r="A1105" s="5"/>
      <c r="B1105" s="2"/>
      <c r="C1105" s="2" t="s">
        <v>646</v>
      </c>
      <c r="D1105" s="2"/>
      <c r="E1105" s="2"/>
      <c r="F1105" s="2"/>
      <c r="G1105" s="2"/>
      <c r="H1105" s="2"/>
      <c r="I1105" s="2"/>
    </row>
    <row r="1106">
      <c r="A1106" s="5"/>
      <c r="B1106" s="2"/>
      <c r="C1106" s="2" t="s">
        <v>646</v>
      </c>
      <c r="D1106" s="2"/>
      <c r="E1106" s="2"/>
      <c r="F1106" s="2"/>
      <c r="G1106" s="2"/>
      <c r="H1106" s="2"/>
      <c r="I1106" s="2"/>
    </row>
    <row r="1107">
      <c r="A1107" s="5"/>
      <c r="B1107" s="2"/>
      <c r="C1107" s="2" t="s">
        <v>646</v>
      </c>
      <c r="D1107" s="2"/>
      <c r="E1107" s="2"/>
      <c r="F1107" s="2"/>
      <c r="G1107" s="2"/>
      <c r="H1107" s="2"/>
      <c r="I1107" s="2"/>
    </row>
    <row r="1108">
      <c r="A1108" s="5"/>
      <c r="B1108" s="2"/>
      <c r="C1108" s="2" t="s">
        <v>646</v>
      </c>
      <c r="D1108" s="2"/>
      <c r="E1108" s="2"/>
      <c r="F1108" s="2"/>
      <c r="G1108" s="2"/>
      <c r="H1108" s="2"/>
      <c r="I1108" s="2"/>
    </row>
    <row r="1109">
      <c r="A1109" s="5"/>
      <c r="B1109" s="2"/>
      <c r="C1109" s="2" t="s">
        <v>646</v>
      </c>
      <c r="D1109" s="2"/>
      <c r="E1109" s="2"/>
      <c r="F1109" s="2"/>
      <c r="G1109" s="2"/>
      <c r="H1109" s="2"/>
      <c r="I1109" s="2"/>
    </row>
    <row r="1110">
      <c r="A1110" s="5"/>
      <c r="B1110" s="2"/>
      <c r="C1110" s="2" t="s">
        <v>646</v>
      </c>
      <c r="D1110" s="2"/>
      <c r="E1110" s="2"/>
      <c r="F1110" s="2"/>
      <c r="G1110" s="2"/>
      <c r="H1110" s="2"/>
      <c r="I1110" s="2"/>
    </row>
    <row r="1111">
      <c r="A1111" s="5"/>
      <c r="B1111" s="2"/>
      <c r="C1111" s="2" t="s">
        <v>646</v>
      </c>
      <c r="D1111" s="2"/>
      <c r="E1111" s="2"/>
      <c r="F1111" s="2"/>
      <c r="G1111" s="2"/>
      <c r="H1111" s="2"/>
      <c r="I1111" s="2"/>
    </row>
    <row r="1112">
      <c r="A1112" s="5"/>
      <c r="B1112" s="2"/>
      <c r="C1112" s="2" t="s">
        <v>646</v>
      </c>
      <c r="D1112" s="2"/>
      <c r="E1112" s="2"/>
      <c r="F1112" s="2"/>
      <c r="G1112" s="2"/>
      <c r="H1112" s="2"/>
      <c r="I1112" s="2"/>
    </row>
    <row r="1113">
      <c r="A1113" s="5"/>
      <c r="B1113" s="2"/>
      <c r="C1113" s="2" t="s">
        <v>646</v>
      </c>
      <c r="D1113" s="2"/>
      <c r="E1113" s="2"/>
      <c r="F1113" s="2"/>
      <c r="G1113" s="2"/>
      <c r="H1113" s="2"/>
      <c r="I1113" s="2"/>
    </row>
    <row r="1114">
      <c r="A1114" s="5"/>
      <c r="B1114" s="2"/>
      <c r="C1114" s="2" t="s">
        <v>646</v>
      </c>
      <c r="D1114" s="2"/>
      <c r="E1114" s="2"/>
      <c r="F1114" s="2"/>
      <c r="G1114" s="2"/>
      <c r="H1114" s="2"/>
      <c r="I1114" s="2"/>
    </row>
    <row r="1115">
      <c r="A1115" s="5"/>
      <c r="B1115" s="2"/>
      <c r="C1115" s="2" t="s">
        <v>646</v>
      </c>
      <c r="D1115" s="2"/>
      <c r="E1115" s="2"/>
      <c r="F1115" s="2"/>
      <c r="G1115" s="2"/>
      <c r="H1115" s="2"/>
      <c r="I1115" s="2"/>
    </row>
    <row r="1116">
      <c r="A1116" s="5"/>
      <c r="B1116" s="2"/>
      <c r="C1116" s="2" t="s">
        <v>646</v>
      </c>
      <c r="D1116" s="2"/>
      <c r="E1116" s="2"/>
      <c r="F1116" s="2"/>
      <c r="G1116" s="2"/>
      <c r="H1116" s="2"/>
      <c r="I1116" s="2"/>
    </row>
    <row r="1117">
      <c r="A1117" s="5"/>
      <c r="B1117" s="2"/>
      <c r="C1117" s="2" t="s">
        <v>646</v>
      </c>
      <c r="D1117" s="2"/>
      <c r="E1117" s="2"/>
      <c r="F1117" s="2"/>
      <c r="G1117" s="2"/>
      <c r="H1117" s="2"/>
      <c r="I1117" s="2"/>
    </row>
    <row r="1118">
      <c r="A1118" s="5"/>
      <c r="B1118" s="2"/>
      <c r="C1118" s="2" t="s">
        <v>646</v>
      </c>
      <c r="D1118" s="2"/>
      <c r="E1118" s="2"/>
      <c r="F1118" s="2"/>
      <c r="G1118" s="2"/>
      <c r="H1118" s="2"/>
      <c r="I1118" s="2"/>
    </row>
    <row r="1119">
      <c r="A1119" s="5"/>
      <c r="B1119" s="2"/>
      <c r="C1119" s="2" t="s">
        <v>646</v>
      </c>
      <c r="D1119" s="2"/>
      <c r="E1119" s="2"/>
      <c r="F1119" s="2"/>
      <c r="G1119" s="2"/>
      <c r="H1119" s="2"/>
      <c r="I1119" s="2"/>
    </row>
    <row r="1120">
      <c r="A1120" s="5"/>
      <c r="B1120" s="2"/>
      <c r="C1120" s="2" t="s">
        <v>646</v>
      </c>
      <c r="D1120" s="2"/>
      <c r="E1120" s="2"/>
      <c r="F1120" s="2"/>
      <c r="G1120" s="2"/>
      <c r="H1120" s="2"/>
      <c r="I112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2"/>
    <hyperlink r:id="rId140" ref="H142"/>
    <hyperlink r:id="rId141" ref="E143"/>
    <hyperlink r:id="rId142" ref="H143"/>
    <hyperlink r:id="rId143" ref="E144"/>
    <hyperlink r:id="rId144" ref="H144"/>
    <hyperlink r:id="rId145" ref="E145"/>
    <hyperlink r:id="rId146" ref="H145"/>
    <hyperlink r:id="rId147" ref="E146"/>
    <hyperlink r:id="rId148" ref="H146"/>
  </hyperlinks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6.71"/>
    <col customWidth="1" min="3" max="3" width="30.71"/>
    <col customWidth="1" min="4" max="4" width="23.71"/>
    <col customWidth="1" min="5" max="5" width="124.0"/>
    <col customWidth="1" min="6" max="6" width="14.43"/>
    <col customWidth="1" min="7" max="7" width="12.29"/>
    <col customWidth="1" min="8" max="8" width="25.71"/>
    <col customWidth="1" min="9" max="9" width="32.29"/>
    <col customWidth="1" min="10" max="15" width="21.57"/>
  </cols>
  <sheetData>
    <row r="1" ht="22.5" customHeight="1">
      <c r="A1" s="6" t="s">
        <v>12</v>
      </c>
      <c r="B1" s="6" t="s">
        <v>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10</v>
      </c>
      <c r="H1" s="6" t="s">
        <v>17</v>
      </c>
      <c r="I1" s="6" t="s">
        <v>11</v>
      </c>
      <c r="J1" s="8" t="s">
        <v>27</v>
      </c>
    </row>
    <row r="2" ht="22.5" customHeight="1">
      <c r="A2" s="9">
        <v>45869.823140775465</v>
      </c>
      <c r="B2" s="10" t="s">
        <v>18</v>
      </c>
      <c r="C2" s="10" t="str">
        <f>IFERROR(__xludf.DUMMYFUNCTION("IF(B2="""","""",LOWER(REGEXREPLACE(B2,""[^A-Za-z0-9]"",""""))&amp;""-""&amp;TEXT(COUNTIF($B$2:B2,B2),""000""))"),"cakespies-001")</f>
        <v>cakespies-001</v>
      </c>
      <c r="D2" s="10" t="s">
        <v>20</v>
      </c>
      <c r="E2" s="11" t="s">
        <v>21</v>
      </c>
      <c r="F2" s="13"/>
      <c r="G2" s="13"/>
      <c r="H2" s="13"/>
      <c r="I2" s="10" t="s">
        <v>23</v>
      </c>
      <c r="J2" s="12">
        <f t="array" ref="J2:J1120">IF(B2:B1120="","",COUNTIF(B2:B1120,B2:B1120))</f>
        <v>5</v>
      </c>
    </row>
    <row r="3" ht="22.5" customHeight="1">
      <c r="A3" s="9">
        <v>45869.824914490746</v>
      </c>
      <c r="B3" s="10" t="s">
        <v>18</v>
      </c>
      <c r="C3" s="10" t="str">
        <f>IFERROR(__xludf.DUMMYFUNCTION("IF(B3="""","""",LOWER(REGEXREPLACE(B3,""[^A-Za-z0-9]"",""""))&amp;""-""&amp;TEXT(COUNTIF($B$2:B3,B3),""000""))"),"cakespies-002")</f>
        <v>cakespies-002</v>
      </c>
      <c r="D3" s="10" t="s">
        <v>25</v>
      </c>
      <c r="E3" s="11" t="s">
        <v>26</v>
      </c>
      <c r="F3" s="13"/>
      <c r="G3" s="13"/>
      <c r="H3" s="13"/>
      <c r="I3" s="13"/>
      <c r="J3" s="13">
        <v>5.0</v>
      </c>
    </row>
    <row r="4" ht="22.5" customHeight="1">
      <c r="A4" s="9">
        <v>45869.826226793986</v>
      </c>
      <c r="B4" s="10" t="s">
        <v>29</v>
      </c>
      <c r="C4" s="10" t="str">
        <f>IFERROR(__xludf.DUMMYFUNCTION("IF(B4="""","""",LOWER(REGEXREPLACE(B4,""[^A-Za-z0-9]"",""""))&amp;""-""&amp;TEXT(COUNTIF($B$2:B4,B4),""000""))"),"fruit-001")</f>
        <v>fruit-001</v>
      </c>
      <c r="D4" s="10" t="s">
        <v>31</v>
      </c>
      <c r="E4" s="11" t="s">
        <v>32</v>
      </c>
      <c r="F4" s="13"/>
      <c r="G4" s="13"/>
      <c r="H4" s="13"/>
      <c r="I4" s="10" t="s">
        <v>36</v>
      </c>
      <c r="J4" s="12">
        <v>10.0</v>
      </c>
    </row>
    <row r="5" ht="22.5" customHeight="1">
      <c r="A5" s="9">
        <v>45869.827065335645</v>
      </c>
      <c r="B5" s="10" t="s">
        <v>29</v>
      </c>
      <c r="C5" s="10" t="str">
        <f>IFERROR(__xludf.DUMMYFUNCTION("IF(B5="""","""",LOWER(REGEXREPLACE(B5,""[^A-Za-z0-9]"",""""))&amp;""-""&amp;TEXT(COUNTIF($B$2:B5,B5),""000""))"),"fruit-002")</f>
        <v>fruit-002</v>
      </c>
      <c r="D5" s="10" t="s">
        <v>38</v>
      </c>
      <c r="E5" s="11" t="s">
        <v>39</v>
      </c>
      <c r="F5" s="13"/>
      <c r="G5" s="13"/>
      <c r="H5" s="13"/>
      <c r="I5" s="13"/>
      <c r="J5" s="13">
        <v>10.0</v>
      </c>
    </row>
    <row r="6" ht="22.5" customHeight="1">
      <c r="A6" s="9">
        <v>45869.82815883102</v>
      </c>
      <c r="B6" s="10" t="s">
        <v>40</v>
      </c>
      <c r="C6" s="10" t="str">
        <f>IFERROR(__xludf.DUMMYFUNCTION("IF(B6="""","""",LOWER(REGEXREPLACE(B6,""[^A-Za-z0-9]"",""""))&amp;""-""&amp;TEXT(COUNTIF($B$2:B6,B6),""000""))"),"vegetables-001")</f>
        <v>vegetables-001</v>
      </c>
      <c r="D6" s="10" t="s">
        <v>42</v>
      </c>
      <c r="E6" s="11" t="s">
        <v>43</v>
      </c>
      <c r="F6" s="13"/>
      <c r="G6" s="13"/>
      <c r="H6" s="13"/>
      <c r="I6" s="13"/>
      <c r="J6" s="13">
        <v>6.0</v>
      </c>
    </row>
    <row r="7" ht="22.5" customHeight="1">
      <c r="A7" s="9">
        <v>45869.829103298616</v>
      </c>
      <c r="B7" s="10" t="s">
        <v>40</v>
      </c>
      <c r="C7" s="10" t="str">
        <f>IFERROR(__xludf.DUMMYFUNCTION("IF(B7="""","""",LOWER(REGEXREPLACE(B7,""[^A-Za-z0-9]"",""""))&amp;""-""&amp;TEXT(COUNTIF($B$2:B7,B7),""000""))"),"vegetables-002")</f>
        <v>vegetables-002</v>
      </c>
      <c r="D7" s="10" t="s">
        <v>47</v>
      </c>
      <c r="E7" s="11" t="s">
        <v>48</v>
      </c>
      <c r="F7" s="13"/>
      <c r="G7" s="13"/>
      <c r="H7" s="13"/>
      <c r="I7" s="13"/>
      <c r="J7" s="13">
        <v>6.0</v>
      </c>
    </row>
    <row r="8" ht="22.5" customHeight="1">
      <c r="A8" s="9">
        <v>45869.83008886574</v>
      </c>
      <c r="B8" s="10" t="s">
        <v>29</v>
      </c>
      <c r="C8" s="10" t="str">
        <f>IFERROR(__xludf.DUMMYFUNCTION("IF(B8="""","""",LOWER(REGEXREPLACE(B8,""[^A-Za-z0-9]"",""""))&amp;""-""&amp;TEXT(COUNTIF($B$2:B8,B8),""000""))"),"fruit-003")</f>
        <v>fruit-003</v>
      </c>
      <c r="D8" s="10" t="s">
        <v>57</v>
      </c>
      <c r="E8" s="11" t="s">
        <v>59</v>
      </c>
      <c r="F8" s="13"/>
      <c r="G8" s="13"/>
      <c r="H8" s="13"/>
      <c r="I8" s="13"/>
      <c r="J8" s="13">
        <v>10.0</v>
      </c>
    </row>
    <row r="9" ht="22.5" customHeight="1">
      <c r="A9" s="9">
        <v>45869.83091939815</v>
      </c>
      <c r="B9" s="10" t="s">
        <v>29</v>
      </c>
      <c r="C9" s="10" t="str">
        <f>IFERROR(__xludf.DUMMYFUNCTION("IF(B9="""","""",LOWER(REGEXREPLACE(B9,""[^A-Za-z0-9]"",""""))&amp;""-""&amp;TEXT(COUNTIF($B$2:B9,B9),""000""))"),"fruit-004")</f>
        <v>fruit-004</v>
      </c>
      <c r="D9" s="10" t="s">
        <v>61</v>
      </c>
      <c r="E9" s="11" t="s">
        <v>62</v>
      </c>
      <c r="F9" s="13"/>
      <c r="G9" s="13"/>
      <c r="H9" s="13"/>
      <c r="I9" s="13"/>
      <c r="J9" s="13">
        <v>10.0</v>
      </c>
    </row>
    <row r="10" ht="22.5" customHeight="1">
      <c r="A10" s="9">
        <v>45869.83203784723</v>
      </c>
      <c r="B10" s="10" t="s">
        <v>29</v>
      </c>
      <c r="C10" s="10" t="str">
        <f>IFERROR(__xludf.DUMMYFUNCTION("IF(B10="""","""",LOWER(REGEXREPLACE(B10,""[^A-Za-z0-9]"",""""))&amp;""-""&amp;TEXT(COUNTIF($B$2:B10,B10),""000""))"),"fruit-005")</f>
        <v>fruit-005</v>
      </c>
      <c r="D10" s="10" t="s">
        <v>65</v>
      </c>
      <c r="E10" s="11" t="s">
        <v>66</v>
      </c>
      <c r="F10" s="13"/>
      <c r="G10" s="13"/>
      <c r="H10" s="13"/>
      <c r="I10" s="13"/>
      <c r="J10" s="13">
        <v>10.0</v>
      </c>
    </row>
    <row r="11" ht="22.5" customHeight="1">
      <c r="A11" s="9">
        <v>45869.83304201389</v>
      </c>
      <c r="B11" s="10" t="s">
        <v>29</v>
      </c>
      <c r="C11" s="10" t="str">
        <f>IFERROR(__xludf.DUMMYFUNCTION("IF(B11="""","""",LOWER(REGEXREPLACE(B11,""[^A-Za-z0-9]"",""""))&amp;""-""&amp;TEXT(COUNTIF($B$2:B11,B11),""000""))"),"fruit-006")</f>
        <v>fruit-006</v>
      </c>
      <c r="D11" s="10" t="s">
        <v>68</v>
      </c>
      <c r="E11" s="11" t="s">
        <v>69</v>
      </c>
      <c r="F11" s="13"/>
      <c r="G11" s="13"/>
      <c r="H11" s="13"/>
      <c r="I11" s="13"/>
      <c r="J11" s="13">
        <v>10.0</v>
      </c>
    </row>
    <row r="12" ht="22.5" customHeight="1">
      <c r="A12" s="9">
        <v>45869.83381820602</v>
      </c>
      <c r="B12" s="10" t="s">
        <v>29</v>
      </c>
      <c r="C12" s="10" t="str">
        <f>IFERROR(__xludf.DUMMYFUNCTION("IF(B12="""","""",LOWER(REGEXREPLACE(B12,""[^A-Za-z0-9]"",""""))&amp;""-""&amp;TEXT(COUNTIF($B$2:B12,B12),""000""))"),"fruit-007")</f>
        <v>fruit-007</v>
      </c>
      <c r="D12" s="10" t="s">
        <v>72</v>
      </c>
      <c r="E12" s="11" t="s">
        <v>73</v>
      </c>
      <c r="F12" s="13"/>
      <c r="G12" s="13"/>
      <c r="H12" s="13"/>
      <c r="I12" s="13"/>
      <c r="J12" s="13">
        <v>10.0</v>
      </c>
    </row>
    <row r="13" ht="22.5" customHeight="1">
      <c r="A13" s="9">
        <v>45869.83459814815</v>
      </c>
      <c r="B13" s="10" t="s">
        <v>29</v>
      </c>
      <c r="C13" s="10" t="str">
        <f>IFERROR(__xludf.DUMMYFUNCTION("IF(B13="""","""",LOWER(REGEXREPLACE(B13,""[^A-Za-z0-9]"",""""))&amp;""-""&amp;TEXT(COUNTIF($B$2:B13,B13),""000""))"),"fruit-008")</f>
        <v>fruit-008</v>
      </c>
      <c r="D13" s="10" t="s">
        <v>76</v>
      </c>
      <c r="E13" s="11" t="s">
        <v>77</v>
      </c>
      <c r="F13" s="13"/>
      <c r="G13" s="13"/>
      <c r="H13" s="13"/>
      <c r="I13" s="13"/>
      <c r="J13" s="13">
        <v>10.0</v>
      </c>
    </row>
    <row r="14" ht="22.5" customHeight="1">
      <c r="A14" s="9">
        <v>45869.83548998843</v>
      </c>
      <c r="B14" s="10" t="s">
        <v>78</v>
      </c>
      <c r="C14" s="10" t="str">
        <f>IFERROR(__xludf.DUMMYFUNCTION("IF(B14="""","""",LOWER(REGEXREPLACE(B14,""[^A-Za-z0-9]"",""""))&amp;""-""&amp;TEXT(COUNTIF($B$2:B14,B14),""000""))"),"junkfood-001")</f>
        <v>junkfood-001</v>
      </c>
      <c r="D14" s="10" t="s">
        <v>80</v>
      </c>
      <c r="E14" s="11" t="s">
        <v>81</v>
      </c>
      <c r="F14" s="13"/>
      <c r="G14" s="13"/>
      <c r="H14" s="13"/>
      <c r="I14" s="13"/>
      <c r="J14" s="13">
        <v>5.0</v>
      </c>
    </row>
    <row r="15" ht="22.5" customHeight="1">
      <c r="A15" s="9">
        <v>45869.8364403125</v>
      </c>
      <c r="B15" s="10" t="s">
        <v>18</v>
      </c>
      <c r="C15" s="10" t="str">
        <f>IFERROR(__xludf.DUMMYFUNCTION("IF(B15="""","""",LOWER(REGEXREPLACE(B15,""[^A-Za-z0-9]"",""""))&amp;""-""&amp;TEXT(COUNTIF($B$2:B15,B15),""000""))"),"cakespies-003")</f>
        <v>cakespies-003</v>
      </c>
      <c r="D15" s="10" t="s">
        <v>84</v>
      </c>
      <c r="E15" s="11" t="s">
        <v>85</v>
      </c>
      <c r="F15" s="13"/>
      <c r="G15" s="13"/>
      <c r="H15" s="13"/>
      <c r="I15" s="13"/>
      <c r="J15" s="13">
        <v>5.0</v>
      </c>
    </row>
    <row r="16" ht="22.5" customHeight="1">
      <c r="A16" s="9">
        <v>45869.83714753472</v>
      </c>
      <c r="B16" s="10" t="s">
        <v>40</v>
      </c>
      <c r="C16" s="10" t="str">
        <f>IFERROR(__xludf.DUMMYFUNCTION("IF(B16="""","""",LOWER(REGEXREPLACE(B16,""[^A-Za-z0-9]"",""""))&amp;""-""&amp;TEXT(COUNTIF($B$2:B16,B16),""000""))"),"vegetables-003")</f>
        <v>vegetables-003</v>
      </c>
      <c r="D16" s="10" t="s">
        <v>87</v>
      </c>
      <c r="E16" s="11" t="s">
        <v>88</v>
      </c>
      <c r="F16" s="13"/>
      <c r="G16" s="13"/>
      <c r="H16" s="13"/>
      <c r="I16" s="13"/>
      <c r="J16" s="13">
        <v>6.0</v>
      </c>
    </row>
    <row r="17" ht="22.5" customHeight="1">
      <c r="A17" s="9">
        <v>45869.838089756944</v>
      </c>
      <c r="B17" s="10" t="s">
        <v>89</v>
      </c>
      <c r="C17" s="10" t="str">
        <f>IFERROR(__xludf.DUMMYFUNCTION("IF(B17="""","""",LOWER(REGEXREPLACE(B17,""[^A-Za-z0-9]"",""""))&amp;""-""&amp;TEXT(COUNTIF($B$2:B17,B17),""000""))"),"breakfast-001")</f>
        <v>breakfast-001</v>
      </c>
      <c r="D17" s="10" t="s">
        <v>91</v>
      </c>
      <c r="E17" s="11" t="s">
        <v>92</v>
      </c>
      <c r="F17" s="13"/>
      <c r="G17" s="13"/>
      <c r="H17" s="13"/>
      <c r="I17" s="13"/>
      <c r="J17" s="13">
        <v>5.0</v>
      </c>
    </row>
    <row r="18" ht="22.5" customHeight="1">
      <c r="A18" s="9">
        <v>45869.839203553245</v>
      </c>
      <c r="B18" s="10" t="s">
        <v>29</v>
      </c>
      <c r="C18" s="10" t="str">
        <f>IFERROR(__xludf.DUMMYFUNCTION("IF(B18="""","""",LOWER(REGEXREPLACE(B18,""[^A-Za-z0-9]"",""""))&amp;""-""&amp;TEXT(COUNTIF($B$2:B18,B18),""000""))"),"fruit-009")</f>
        <v>fruit-009</v>
      </c>
      <c r="D18" s="10" t="s">
        <v>94</v>
      </c>
      <c r="E18" s="11" t="s">
        <v>95</v>
      </c>
      <c r="F18" s="13"/>
      <c r="G18" s="13"/>
      <c r="H18" s="13"/>
      <c r="I18" s="13"/>
      <c r="J18" s="13">
        <v>10.0</v>
      </c>
    </row>
    <row r="19" ht="22.5" customHeight="1">
      <c r="A19" s="9">
        <v>45870.71290454861</v>
      </c>
      <c r="B19" s="10" t="s">
        <v>29</v>
      </c>
      <c r="C19" s="10" t="str">
        <f>IFERROR(__xludf.DUMMYFUNCTION("IF(B19="""","""",LOWER(REGEXREPLACE(B19,""[^A-Za-z0-9]"",""""))&amp;""-""&amp;TEXT(COUNTIF($B$2:B19,B19),""000""))"),"fruit-010")</f>
        <v>fruit-010</v>
      </c>
      <c r="D19" s="10" t="s">
        <v>31</v>
      </c>
      <c r="E19" s="11" t="s">
        <v>98</v>
      </c>
      <c r="F19" s="13"/>
      <c r="G19" s="13"/>
      <c r="H19" s="13"/>
      <c r="I19" s="13"/>
      <c r="J19" s="13">
        <v>10.0</v>
      </c>
    </row>
    <row r="20" ht="22.5" customHeight="1">
      <c r="A20" s="9">
        <v>45870.713720370375</v>
      </c>
      <c r="B20" s="10" t="s">
        <v>78</v>
      </c>
      <c r="C20" s="10" t="str">
        <f>IFERROR(__xludf.DUMMYFUNCTION("IF(B20="""","""",LOWER(REGEXREPLACE(B20,""[^A-Za-z0-9]"",""""))&amp;""-""&amp;TEXT(COUNTIF($B$2:B20,B20),""000""))"),"junkfood-002")</f>
        <v>junkfood-002</v>
      </c>
      <c r="D20" s="10" t="s">
        <v>100</v>
      </c>
      <c r="E20" s="18" t="s">
        <v>101</v>
      </c>
      <c r="F20" s="13"/>
      <c r="G20" s="13"/>
      <c r="H20" s="13"/>
      <c r="I20" s="13"/>
      <c r="J20" s="13">
        <v>5.0</v>
      </c>
    </row>
    <row r="21" ht="22.5" customHeight="1">
      <c r="A21" s="9">
        <v>45870.71823908565</v>
      </c>
      <c r="B21" s="10" t="s">
        <v>89</v>
      </c>
      <c r="C21" s="10" t="str">
        <f>IFERROR(__xludf.DUMMYFUNCTION("IF(B21="""","""",LOWER(REGEXREPLACE(B21,""[^A-Za-z0-9]"",""""))&amp;""-""&amp;TEXT(COUNTIF($B$2:B21,B21),""000""))"),"breakfast-002")</f>
        <v>breakfast-002</v>
      </c>
      <c r="D21" s="10" t="s">
        <v>103</v>
      </c>
      <c r="E21" s="11" t="s">
        <v>104</v>
      </c>
      <c r="F21" s="13"/>
      <c r="G21" s="13"/>
      <c r="H21" s="13"/>
      <c r="I21" s="13"/>
      <c r="J21" s="13">
        <v>5.0</v>
      </c>
    </row>
    <row r="22" ht="22.5" customHeight="1">
      <c r="A22" s="9">
        <v>45870.71887195602</v>
      </c>
      <c r="B22" s="10" t="s">
        <v>40</v>
      </c>
      <c r="C22" s="10" t="str">
        <f>IFERROR(__xludf.DUMMYFUNCTION("IF(B22="""","""",LOWER(REGEXREPLACE(B22,""[^A-Za-z0-9]"",""""))&amp;""-""&amp;TEXT(COUNTIF($B$2:B22,B22),""000""))"),"vegetables-004")</f>
        <v>vegetables-004</v>
      </c>
      <c r="D22" s="10" t="s">
        <v>106</v>
      </c>
      <c r="E22" s="11" t="s">
        <v>107</v>
      </c>
      <c r="F22" s="13"/>
      <c r="G22" s="13"/>
      <c r="H22" s="13"/>
      <c r="I22" s="13"/>
      <c r="J22" s="13">
        <v>6.0</v>
      </c>
    </row>
    <row r="23" ht="22.5" customHeight="1">
      <c r="A23" s="9">
        <v>45870.71958952546</v>
      </c>
      <c r="B23" s="10" t="s">
        <v>109</v>
      </c>
      <c r="C23" s="10" t="str">
        <f>IFERROR(__xludf.DUMMYFUNCTION("IF(B23="""","""",LOWER(REGEXREPLACE(B23,""[^A-Za-z0-9]"",""""))&amp;""-""&amp;TEXT(COUNTIF($B$2:B23,B23),""000""))"),"soupsstews-001")</f>
        <v>soupsstews-001</v>
      </c>
      <c r="D23" s="10" t="s">
        <v>111</v>
      </c>
      <c r="E23" s="11" t="s">
        <v>112</v>
      </c>
      <c r="F23" s="13"/>
      <c r="G23" s="13"/>
      <c r="H23" s="13"/>
      <c r="I23" s="10" t="s">
        <v>113</v>
      </c>
      <c r="J23" s="12">
        <v>5.0</v>
      </c>
    </row>
    <row r="24" ht="22.5" customHeight="1">
      <c r="A24" s="9">
        <v>45870.72047158565</v>
      </c>
      <c r="B24" s="10" t="s">
        <v>114</v>
      </c>
      <c r="C24" s="10" t="str">
        <f>IFERROR(__xludf.DUMMYFUNCTION("IF(B24="""","""",LOWER(REGEXREPLACE(B24,""[^A-Za-z0-9]"",""""))&amp;""-""&amp;TEXT(COUNTIF($B$2:B24,B24),""000""))"),"nuts-001")</f>
        <v>nuts-001</v>
      </c>
      <c r="D24" s="10" t="s">
        <v>116</v>
      </c>
      <c r="E24" s="11" t="s">
        <v>117</v>
      </c>
      <c r="F24" s="13"/>
      <c r="G24" s="13"/>
      <c r="H24" s="13"/>
      <c r="I24" s="10" t="s">
        <v>118</v>
      </c>
      <c r="J24" s="12">
        <v>5.0</v>
      </c>
    </row>
    <row r="25" ht="22.5" customHeight="1">
      <c r="A25" s="14">
        <v>46290.48448987269</v>
      </c>
      <c r="B25" s="15" t="s">
        <v>119</v>
      </c>
      <c r="C25" s="19" t="str">
        <f>IFERROR(__xludf.DUMMYFUNCTION("IF(B25="""","""",LOWER(REGEXREPLACE(B25,""[^A-Za-z0-9]"",""""))&amp;""-""&amp;TEXT(COUNTIF($B$2:B25,B25),""000""))"),"bakedgoods-001")</f>
        <v>bakedgoods-001</v>
      </c>
      <c r="D25" s="15" t="s">
        <v>121</v>
      </c>
      <c r="E25" s="16" t="s">
        <v>122</v>
      </c>
      <c r="F25" s="15">
        <v>100.0</v>
      </c>
      <c r="G25" s="15" t="s">
        <v>123</v>
      </c>
      <c r="H25" s="15" t="s">
        <v>124</v>
      </c>
      <c r="I25" s="15" t="s">
        <v>125</v>
      </c>
      <c r="J25" s="12">
        <v>5.0</v>
      </c>
    </row>
    <row r="26" ht="22.5" customHeight="1">
      <c r="A26" s="14">
        <v>46290.49359099537</v>
      </c>
      <c r="B26" s="15" t="s">
        <v>126</v>
      </c>
      <c r="C26" s="19" t="str">
        <f>IFERROR(__xludf.DUMMYFUNCTION("IF(B26="""","""",LOWER(REGEXREPLACE(B26,""[^A-Za-z0-9]"",""""))&amp;""-""&amp;TEXT(COUNTIF($B$2:B26,B26),""000""))"),"halloween-001")</f>
        <v>halloween-001</v>
      </c>
      <c r="D26" s="15" t="s">
        <v>128</v>
      </c>
      <c r="E26" s="16" t="s">
        <v>129</v>
      </c>
      <c r="F26" s="15">
        <v>300.0</v>
      </c>
      <c r="G26" s="15" t="s">
        <v>123</v>
      </c>
      <c r="H26" s="15" t="s">
        <v>124</v>
      </c>
      <c r="J26" s="13">
        <v>17.0</v>
      </c>
    </row>
    <row r="27" ht="22.5" customHeight="1">
      <c r="A27" s="14">
        <v>46290.49462195602</v>
      </c>
      <c r="B27" s="15" t="s">
        <v>126</v>
      </c>
      <c r="C27" s="19" t="str">
        <f>IFERROR(__xludf.DUMMYFUNCTION("IF(B27="""","""",LOWER(REGEXREPLACE(B27,""[^A-Za-z0-9]"",""""))&amp;""-""&amp;TEXT(COUNTIF($B$2:B27,B27),""000""))"),"halloween-002")</f>
        <v>halloween-002</v>
      </c>
      <c r="D27" s="15" t="s">
        <v>131</v>
      </c>
      <c r="E27" s="16" t="s">
        <v>132</v>
      </c>
      <c r="F27" s="15">
        <v>300.0</v>
      </c>
      <c r="G27" s="15" t="s">
        <v>123</v>
      </c>
      <c r="H27" s="15" t="s">
        <v>124</v>
      </c>
      <c r="J27" s="13">
        <v>17.0</v>
      </c>
    </row>
    <row r="28" ht="22.5" customHeight="1">
      <c r="A28" s="14">
        <v>46290.495633032406</v>
      </c>
      <c r="B28" s="15" t="s">
        <v>126</v>
      </c>
      <c r="C28" s="19" t="str">
        <f>IFERROR(__xludf.DUMMYFUNCTION("IF(B28="""","""",LOWER(REGEXREPLACE(B28,""[^A-Za-z0-9]"",""""))&amp;""-""&amp;TEXT(COUNTIF($B$2:B28,B28),""000""))"),"halloween-003")</f>
        <v>halloween-003</v>
      </c>
      <c r="D28" s="15" t="s">
        <v>134</v>
      </c>
      <c r="E28" s="16" t="s">
        <v>135</v>
      </c>
      <c r="F28" s="15">
        <v>400.0</v>
      </c>
      <c r="G28" s="15" t="s">
        <v>123</v>
      </c>
      <c r="H28" s="15" t="s">
        <v>124</v>
      </c>
      <c r="J28" s="13">
        <v>17.0</v>
      </c>
    </row>
    <row r="29" ht="22.5" customHeight="1">
      <c r="A29" s="14">
        <v>46290.496619363425</v>
      </c>
      <c r="B29" s="15" t="s">
        <v>126</v>
      </c>
      <c r="C29" s="19" t="str">
        <f>IFERROR(__xludf.DUMMYFUNCTION("IF(B29="""","""",LOWER(REGEXREPLACE(B29,""[^A-Za-z0-9]"",""""))&amp;""-""&amp;TEXT(COUNTIF($B$2:B29,B29),""000""))"),"halloween-004")</f>
        <v>halloween-004</v>
      </c>
      <c r="D29" s="15" t="s">
        <v>137</v>
      </c>
      <c r="E29" s="16" t="s">
        <v>138</v>
      </c>
      <c r="F29" s="15">
        <v>100.0</v>
      </c>
      <c r="G29" s="15" t="s">
        <v>123</v>
      </c>
      <c r="H29" s="15" t="s">
        <v>124</v>
      </c>
      <c r="J29" s="13">
        <v>17.0</v>
      </c>
    </row>
    <row r="30" ht="22.5" customHeight="1">
      <c r="A30" s="14">
        <v>46290.50030115741</v>
      </c>
      <c r="B30" s="15" t="s">
        <v>126</v>
      </c>
      <c r="C30" s="19" t="str">
        <f>IFERROR(__xludf.DUMMYFUNCTION("IF(B30="""","""",LOWER(REGEXREPLACE(B30,""[^A-Za-z0-9]"",""""))&amp;""-""&amp;TEXT(COUNTIF($B$2:B30,B30),""000""))"),"halloween-005")</f>
        <v>halloween-005</v>
      </c>
      <c r="D30" s="15" t="s">
        <v>140</v>
      </c>
      <c r="E30" s="16" t="s">
        <v>141</v>
      </c>
      <c r="F30" s="15">
        <v>200.0</v>
      </c>
      <c r="G30" s="15" t="s">
        <v>123</v>
      </c>
      <c r="H30" s="15" t="s">
        <v>124</v>
      </c>
      <c r="J30" s="13">
        <v>17.0</v>
      </c>
    </row>
    <row r="31" ht="22.5" customHeight="1">
      <c r="A31" s="14">
        <v>46290.50298800926</v>
      </c>
      <c r="B31" s="15" t="s">
        <v>126</v>
      </c>
      <c r="C31" s="19" t="str">
        <f>IFERROR(__xludf.DUMMYFUNCTION("IF(B31="""","""",LOWER(REGEXREPLACE(B31,""[^A-Za-z0-9]"",""""))&amp;""-""&amp;TEXT(COUNTIF($B$2:B31,B31),""000""))"),"halloween-006")</f>
        <v>halloween-006</v>
      </c>
      <c r="D31" s="15" t="s">
        <v>143</v>
      </c>
      <c r="E31" s="16" t="s">
        <v>144</v>
      </c>
      <c r="F31" s="15">
        <v>500.0</v>
      </c>
      <c r="G31" s="15" t="s">
        <v>123</v>
      </c>
      <c r="H31" s="15" t="s">
        <v>124</v>
      </c>
      <c r="J31" s="13">
        <v>17.0</v>
      </c>
    </row>
    <row r="32" ht="22.5" customHeight="1">
      <c r="A32" s="14">
        <v>46290.504940405095</v>
      </c>
      <c r="B32" s="15" t="s">
        <v>126</v>
      </c>
      <c r="C32" s="19" t="str">
        <f>IFERROR(__xludf.DUMMYFUNCTION("IF(B32="""","""",LOWER(REGEXREPLACE(B32,""[^A-Za-z0-9]"",""""))&amp;""-""&amp;TEXT(COUNTIF($B$2:B32,B32),""000""))"),"halloween-007")</f>
        <v>halloween-007</v>
      </c>
      <c r="D32" s="15" t="s">
        <v>146</v>
      </c>
      <c r="E32" s="16" t="s">
        <v>147</v>
      </c>
      <c r="F32" s="15">
        <v>100.0</v>
      </c>
      <c r="G32" s="15" t="s">
        <v>123</v>
      </c>
      <c r="H32" s="15" t="s">
        <v>124</v>
      </c>
      <c r="J32" s="13">
        <v>17.0</v>
      </c>
    </row>
    <row r="33" ht="22.5" customHeight="1">
      <c r="A33" s="14">
        <v>46290.50563621528</v>
      </c>
      <c r="B33" s="15" t="s">
        <v>126</v>
      </c>
      <c r="C33" s="19" t="str">
        <f>IFERROR(__xludf.DUMMYFUNCTION("IF(B33="""","""",LOWER(REGEXREPLACE(B33,""[^A-Za-z0-9]"",""""))&amp;""-""&amp;TEXT(COUNTIF($B$2:B33,B33),""000""))"),"halloween-008")</f>
        <v>halloween-008</v>
      </c>
      <c r="D33" s="15" t="s">
        <v>150</v>
      </c>
      <c r="E33" s="16" t="s">
        <v>151</v>
      </c>
      <c r="F33" s="15">
        <v>400.0</v>
      </c>
      <c r="G33" s="15" t="s">
        <v>123</v>
      </c>
      <c r="H33" s="15" t="s">
        <v>124</v>
      </c>
      <c r="J33" s="13">
        <v>17.0</v>
      </c>
    </row>
    <row r="34" ht="22.5" customHeight="1">
      <c r="A34" s="14">
        <v>46290.506947974536</v>
      </c>
      <c r="B34" s="15" t="s">
        <v>126</v>
      </c>
      <c r="C34" s="19" t="str">
        <f>IFERROR(__xludf.DUMMYFUNCTION("IF(B34="""","""",LOWER(REGEXREPLACE(B34,""[^A-Za-z0-9]"",""""))&amp;""-""&amp;TEXT(COUNTIF($B$2:B34,B34),""000""))"),"halloween-009")</f>
        <v>halloween-009</v>
      </c>
      <c r="D34" s="15" t="s">
        <v>153</v>
      </c>
      <c r="E34" s="16" t="s">
        <v>154</v>
      </c>
      <c r="F34" s="15">
        <v>400.0</v>
      </c>
      <c r="G34" s="15" t="s">
        <v>123</v>
      </c>
      <c r="H34" s="15" t="s">
        <v>124</v>
      </c>
      <c r="J34" s="13">
        <v>17.0</v>
      </c>
    </row>
    <row r="35" ht="22.5" customHeight="1">
      <c r="A35" s="14">
        <v>46290.50760055556</v>
      </c>
      <c r="B35" s="15" t="s">
        <v>126</v>
      </c>
      <c r="C35" s="19" t="str">
        <f>IFERROR(__xludf.DUMMYFUNCTION("IF(B35="""","""",LOWER(REGEXREPLACE(B35,""[^A-Za-z0-9]"",""""))&amp;""-""&amp;TEXT(COUNTIF($B$2:B35,B35),""000""))"),"halloween-010")</f>
        <v>halloween-010</v>
      </c>
      <c r="D35" s="15" t="s">
        <v>156</v>
      </c>
      <c r="E35" s="16" t="s">
        <v>157</v>
      </c>
      <c r="F35" s="15">
        <v>500.0</v>
      </c>
      <c r="G35" s="15" t="s">
        <v>123</v>
      </c>
      <c r="H35" s="15" t="s">
        <v>124</v>
      </c>
      <c r="J35" s="13">
        <v>17.0</v>
      </c>
    </row>
    <row r="36" ht="22.5" customHeight="1">
      <c r="A36" s="14">
        <v>46290.50853924769</v>
      </c>
      <c r="B36" s="15" t="s">
        <v>126</v>
      </c>
      <c r="C36" s="19" t="str">
        <f>IFERROR(__xludf.DUMMYFUNCTION("IF(B36="""","""",LOWER(REGEXREPLACE(B36,""[^A-Za-z0-9]"",""""))&amp;""-""&amp;TEXT(COUNTIF($B$2:B36,B36),""000""))"),"halloween-011")</f>
        <v>halloween-011</v>
      </c>
      <c r="D36" s="15" t="s">
        <v>159</v>
      </c>
      <c r="E36" s="16" t="s">
        <v>160</v>
      </c>
      <c r="F36" s="15">
        <v>200.0</v>
      </c>
      <c r="G36" s="15" t="s">
        <v>123</v>
      </c>
      <c r="H36" s="15" t="s">
        <v>124</v>
      </c>
      <c r="J36" s="13">
        <v>17.0</v>
      </c>
    </row>
    <row r="37" ht="22.5" customHeight="1">
      <c r="A37" s="14">
        <v>46290.50905422454</v>
      </c>
      <c r="B37" s="15" t="s">
        <v>126</v>
      </c>
      <c r="C37" s="19" t="str">
        <f>IFERROR(__xludf.DUMMYFUNCTION("IF(B37="""","""",LOWER(REGEXREPLACE(B37,""[^A-Za-z0-9]"",""""))&amp;""-""&amp;TEXT(COUNTIF($B$2:B37,B37),""000""))"),"halloween-012")</f>
        <v>halloween-012</v>
      </c>
      <c r="D37" s="15" t="s">
        <v>162</v>
      </c>
      <c r="E37" s="16" t="s">
        <v>163</v>
      </c>
      <c r="F37" s="15">
        <v>200.0</v>
      </c>
      <c r="G37" s="15" t="s">
        <v>123</v>
      </c>
      <c r="H37" s="15" t="s">
        <v>124</v>
      </c>
      <c r="J37" s="13">
        <v>17.0</v>
      </c>
    </row>
    <row r="38" ht="22.5" customHeight="1">
      <c r="A38" s="14">
        <v>46290.50970408565</v>
      </c>
      <c r="B38" s="15" t="s">
        <v>126</v>
      </c>
      <c r="C38" s="19" t="str">
        <f>IFERROR(__xludf.DUMMYFUNCTION("IF(B38="""","""",LOWER(REGEXREPLACE(B38,""[^A-Za-z0-9]"",""""))&amp;""-""&amp;TEXT(COUNTIF($B$2:B38,B38),""000""))"),"halloween-013")</f>
        <v>halloween-013</v>
      </c>
      <c r="D38" s="15" t="s">
        <v>165</v>
      </c>
      <c r="E38" s="16" t="s">
        <v>166</v>
      </c>
      <c r="F38" s="15">
        <v>400.0</v>
      </c>
      <c r="G38" s="15" t="s">
        <v>123</v>
      </c>
      <c r="H38" s="15" t="s">
        <v>124</v>
      </c>
      <c r="J38" s="13">
        <v>17.0</v>
      </c>
    </row>
    <row r="39" ht="22.5" customHeight="1">
      <c r="A39" s="14">
        <v>46290.51047511574</v>
      </c>
      <c r="B39" s="15" t="s">
        <v>126</v>
      </c>
      <c r="C39" s="19" t="str">
        <f>IFERROR(__xludf.DUMMYFUNCTION("IF(B39="""","""",LOWER(REGEXREPLACE(B39,""[^A-Za-z0-9]"",""""))&amp;""-""&amp;TEXT(COUNTIF($B$2:B39,B39),""000""))"),"halloween-014")</f>
        <v>halloween-014</v>
      </c>
      <c r="D39" s="15" t="s">
        <v>156</v>
      </c>
      <c r="E39" s="16" t="s">
        <v>168</v>
      </c>
      <c r="F39" s="15">
        <v>100.0</v>
      </c>
      <c r="G39" s="15" t="s">
        <v>123</v>
      </c>
      <c r="H39" s="15" t="s">
        <v>124</v>
      </c>
      <c r="J39" s="13">
        <v>17.0</v>
      </c>
    </row>
    <row r="40" ht="22.5" customHeight="1">
      <c r="A40" s="14">
        <v>46290.51085722222</v>
      </c>
      <c r="B40" s="15" t="s">
        <v>126</v>
      </c>
      <c r="C40" s="19" t="str">
        <f>IFERROR(__xludf.DUMMYFUNCTION("IF(B40="""","""",LOWER(REGEXREPLACE(B40,""[^A-Za-z0-9]"",""""))&amp;""-""&amp;TEXT(COUNTIF($B$2:B40,B40),""000""))"),"halloween-015")</f>
        <v>halloween-015</v>
      </c>
      <c r="D40" s="15" t="s">
        <v>170</v>
      </c>
      <c r="E40" s="16" t="s">
        <v>171</v>
      </c>
      <c r="F40" s="15">
        <v>100.0</v>
      </c>
      <c r="G40" s="15" t="s">
        <v>123</v>
      </c>
      <c r="H40" s="15" t="s">
        <v>124</v>
      </c>
      <c r="J40" s="13">
        <v>17.0</v>
      </c>
    </row>
    <row r="41" ht="22.5" customHeight="1">
      <c r="A41" s="14">
        <v>46290.51151517361</v>
      </c>
      <c r="B41" s="15" t="s">
        <v>126</v>
      </c>
      <c r="C41" s="19" t="str">
        <f>IFERROR(__xludf.DUMMYFUNCTION("IF(B41="""","""",LOWER(REGEXREPLACE(B41,""[^A-Za-z0-9]"",""""))&amp;""-""&amp;TEXT(COUNTIF($B$2:B41,B41),""000""))"),"halloween-016")</f>
        <v>halloween-016</v>
      </c>
      <c r="D41" s="15" t="s">
        <v>173</v>
      </c>
      <c r="E41" s="16" t="s">
        <v>174</v>
      </c>
      <c r="F41" s="15">
        <v>200.0</v>
      </c>
      <c r="G41" s="15" t="s">
        <v>123</v>
      </c>
      <c r="H41" s="15" t="s">
        <v>124</v>
      </c>
      <c r="J41" s="13">
        <v>17.0</v>
      </c>
    </row>
    <row r="42" ht="22.5" customHeight="1">
      <c r="A42" s="14">
        <v>46290.512419085644</v>
      </c>
      <c r="B42" s="15" t="s">
        <v>126</v>
      </c>
      <c r="C42" s="19" t="str">
        <f>IFERROR(__xludf.DUMMYFUNCTION("IF(B42="""","""",LOWER(REGEXREPLACE(B42,""[^A-Za-z0-9]"",""""))&amp;""-""&amp;TEXT(COUNTIF($B$2:B42,B42),""000""))"),"halloween-017")</f>
        <v>halloween-017</v>
      </c>
      <c r="D42" s="15" t="s">
        <v>176</v>
      </c>
      <c r="E42" s="16" t="s">
        <v>177</v>
      </c>
      <c r="F42" s="15">
        <v>400.0</v>
      </c>
      <c r="G42" s="15" t="s">
        <v>123</v>
      </c>
      <c r="H42" s="15" t="s">
        <v>124</v>
      </c>
      <c r="J42" s="13">
        <v>17.0</v>
      </c>
    </row>
    <row r="43" ht="22.5" customHeight="1">
      <c r="A43" s="14">
        <v>46290.5163447338</v>
      </c>
      <c r="B43" s="15" t="s">
        <v>179</v>
      </c>
      <c r="C43" s="19" t="str">
        <f>IFERROR(__xludf.DUMMYFUNCTION("IF(B43="""","""",LOWER(REGEXREPLACE(B43,""[^A-Za-z0-9]"",""""))&amp;""-""&amp;TEXT(COUNTIF($B$2:B43,B43),""000""))"),"thanksgiving-001")</f>
        <v>thanksgiving-001</v>
      </c>
      <c r="D43" s="15" t="s">
        <v>181</v>
      </c>
      <c r="E43" s="16" t="s">
        <v>182</v>
      </c>
      <c r="F43" s="15">
        <v>400.0</v>
      </c>
      <c r="G43" s="15" t="s">
        <v>123</v>
      </c>
      <c r="H43" s="15" t="s">
        <v>124</v>
      </c>
      <c r="J43" s="13">
        <v>10.0</v>
      </c>
    </row>
    <row r="44" ht="22.5" customHeight="1">
      <c r="A44" s="14">
        <v>46290.516842743054</v>
      </c>
      <c r="B44" s="15" t="s">
        <v>179</v>
      </c>
      <c r="C44" s="19" t="str">
        <f>IFERROR(__xludf.DUMMYFUNCTION("IF(B44="""","""",LOWER(REGEXREPLACE(B44,""[^A-Za-z0-9]"",""""))&amp;""-""&amp;TEXT(COUNTIF($B$2:B44,B44),""000""))"),"thanksgiving-002")</f>
        <v>thanksgiving-002</v>
      </c>
      <c r="D44" s="15" t="s">
        <v>184</v>
      </c>
      <c r="E44" s="16" t="s">
        <v>185</v>
      </c>
      <c r="F44" s="15">
        <v>100.0</v>
      </c>
      <c r="G44" s="15" t="s">
        <v>123</v>
      </c>
      <c r="H44" s="15" t="s">
        <v>124</v>
      </c>
      <c r="J44" s="13">
        <v>10.0</v>
      </c>
    </row>
    <row r="45" ht="22.5" customHeight="1">
      <c r="A45" s="14">
        <v>46290.5201721875</v>
      </c>
      <c r="B45" s="15" t="s">
        <v>179</v>
      </c>
      <c r="C45" s="19" t="str">
        <f>IFERROR(__xludf.DUMMYFUNCTION("IF(B45="""","""",LOWER(REGEXREPLACE(B45,""[^A-Za-z0-9]"",""""))&amp;""-""&amp;TEXT(COUNTIF($B$2:B45,B45),""000""))"),"thanksgiving-003")</f>
        <v>thanksgiving-003</v>
      </c>
      <c r="D45" s="15" t="s">
        <v>188</v>
      </c>
      <c r="E45" s="16" t="s">
        <v>189</v>
      </c>
      <c r="F45" s="15">
        <v>300.0</v>
      </c>
      <c r="G45" s="15" t="s">
        <v>123</v>
      </c>
      <c r="H45" s="15" t="s">
        <v>124</v>
      </c>
      <c r="J45" s="13">
        <v>10.0</v>
      </c>
    </row>
    <row r="46" ht="22.5" customHeight="1">
      <c r="A46" s="14">
        <v>46290.52072438657</v>
      </c>
      <c r="B46" s="15" t="s">
        <v>179</v>
      </c>
      <c r="C46" s="19" t="str">
        <f>IFERROR(__xludf.DUMMYFUNCTION("IF(B46="""","""",LOWER(REGEXREPLACE(B46,""[^A-Za-z0-9]"",""""))&amp;""-""&amp;TEXT(COUNTIF($B$2:B46,B46),""000""))"),"thanksgiving-004")</f>
        <v>thanksgiving-004</v>
      </c>
      <c r="D46" s="15" t="s">
        <v>184</v>
      </c>
      <c r="E46" s="16" t="s">
        <v>191</v>
      </c>
      <c r="F46" s="15">
        <v>200.0</v>
      </c>
      <c r="G46" s="15" t="s">
        <v>123</v>
      </c>
      <c r="H46" s="15" t="s">
        <v>124</v>
      </c>
      <c r="J46" s="13">
        <v>10.0</v>
      </c>
    </row>
    <row r="47" ht="22.5" customHeight="1">
      <c r="A47" s="14">
        <v>46290.521209583334</v>
      </c>
      <c r="B47" s="15" t="s">
        <v>179</v>
      </c>
      <c r="C47" s="19" t="str">
        <f>IFERROR(__xludf.DUMMYFUNCTION("IF(B47="""","""",LOWER(REGEXREPLACE(B47,""[^A-Za-z0-9]"",""""))&amp;""-""&amp;TEXT(COUNTIF($B$2:B47,B47),""000""))"),"thanksgiving-005")</f>
        <v>thanksgiving-005</v>
      </c>
      <c r="D47" s="15" t="s">
        <v>194</v>
      </c>
      <c r="E47" s="16" t="s">
        <v>195</v>
      </c>
      <c r="F47" s="15">
        <v>400.0</v>
      </c>
      <c r="G47" s="15" t="s">
        <v>123</v>
      </c>
      <c r="H47" s="15" t="s">
        <v>124</v>
      </c>
      <c r="J47" s="13">
        <v>10.0</v>
      </c>
    </row>
    <row r="48" ht="22.5" customHeight="1">
      <c r="A48" s="14">
        <v>46290.52205847223</v>
      </c>
      <c r="B48" s="15" t="s">
        <v>179</v>
      </c>
      <c r="C48" s="19" t="str">
        <f>IFERROR(__xludf.DUMMYFUNCTION("IF(B48="""","""",LOWER(REGEXREPLACE(B48,""[^A-Za-z0-9]"",""""))&amp;""-""&amp;TEXT(COUNTIF($B$2:B48,B48),""000""))"),"thanksgiving-006")</f>
        <v>thanksgiving-006</v>
      </c>
      <c r="D48" s="15" t="s">
        <v>197</v>
      </c>
      <c r="E48" s="16" t="s">
        <v>198</v>
      </c>
      <c r="F48" s="15">
        <v>200.0</v>
      </c>
      <c r="G48" s="15" t="s">
        <v>123</v>
      </c>
      <c r="H48" s="15" t="s">
        <v>124</v>
      </c>
      <c r="J48" s="13">
        <v>10.0</v>
      </c>
    </row>
    <row r="49" ht="22.5" customHeight="1">
      <c r="A49" s="14">
        <v>46290.52316627315</v>
      </c>
      <c r="B49" s="15" t="s">
        <v>179</v>
      </c>
      <c r="C49" s="19" t="str">
        <f>IFERROR(__xludf.DUMMYFUNCTION("IF(B49="""","""",LOWER(REGEXREPLACE(B49,""[^A-Za-z0-9]"",""""))&amp;""-""&amp;TEXT(COUNTIF($B$2:B49,B49),""000""))"),"thanksgiving-007")</f>
        <v>thanksgiving-007</v>
      </c>
      <c r="D49" s="15" t="s">
        <v>201</v>
      </c>
      <c r="E49" s="16" t="s">
        <v>202</v>
      </c>
      <c r="F49" s="15">
        <v>100.0</v>
      </c>
      <c r="G49" s="15" t="s">
        <v>123</v>
      </c>
      <c r="H49" s="15" t="s">
        <v>124</v>
      </c>
      <c r="J49" s="13">
        <v>10.0</v>
      </c>
    </row>
    <row r="50" ht="22.5" customHeight="1">
      <c r="A50" s="14">
        <v>46290.523855277774</v>
      </c>
      <c r="B50" s="15" t="s">
        <v>179</v>
      </c>
      <c r="C50" s="19" t="str">
        <f>IFERROR(__xludf.DUMMYFUNCTION("IF(B50="""","""",LOWER(REGEXREPLACE(B50,""[^A-Za-z0-9]"",""""))&amp;""-""&amp;TEXT(COUNTIF($B$2:B50,B50),""000""))"),"thanksgiving-008")</f>
        <v>thanksgiving-008</v>
      </c>
      <c r="D50" s="15" t="s">
        <v>205</v>
      </c>
      <c r="E50" s="16" t="s">
        <v>206</v>
      </c>
      <c r="F50" s="15">
        <v>100.0</v>
      </c>
      <c r="G50" s="15" t="s">
        <v>123</v>
      </c>
      <c r="H50" s="15" t="s">
        <v>124</v>
      </c>
      <c r="J50" s="13">
        <v>10.0</v>
      </c>
    </row>
    <row r="51" ht="22.5" customHeight="1">
      <c r="A51" s="14">
        <v>46290.52488226852</v>
      </c>
      <c r="B51" s="15" t="s">
        <v>179</v>
      </c>
      <c r="C51" s="19" t="str">
        <f>IFERROR(__xludf.DUMMYFUNCTION("IF(B51="""","""",LOWER(REGEXREPLACE(B51,""[^A-Za-z0-9]"",""""))&amp;""-""&amp;TEXT(COUNTIF($B$2:B51,B51),""000""))"),"thanksgiving-009")</f>
        <v>thanksgiving-009</v>
      </c>
      <c r="D51" s="15" t="s">
        <v>209</v>
      </c>
      <c r="E51" s="16" t="s">
        <v>210</v>
      </c>
      <c r="F51" s="15">
        <v>300.0</v>
      </c>
      <c r="G51" s="15" t="s">
        <v>123</v>
      </c>
      <c r="H51" s="15" t="s">
        <v>124</v>
      </c>
      <c r="J51" s="13">
        <v>10.0</v>
      </c>
    </row>
    <row r="52" ht="22.5" customHeight="1">
      <c r="A52" s="14">
        <v>46290.52531875</v>
      </c>
      <c r="B52" s="15" t="s">
        <v>179</v>
      </c>
      <c r="C52" s="19" t="str">
        <f>IFERROR(__xludf.DUMMYFUNCTION("IF(B52="""","""",LOWER(REGEXREPLACE(B52,""[^A-Za-z0-9]"",""""))&amp;""-""&amp;TEXT(COUNTIF($B$2:B52,B52),""000""))"),"thanksgiving-010")</f>
        <v>thanksgiving-010</v>
      </c>
      <c r="D52" s="15" t="s">
        <v>212</v>
      </c>
      <c r="E52" s="16" t="s">
        <v>213</v>
      </c>
      <c r="F52" s="15">
        <v>100.0</v>
      </c>
      <c r="G52" s="15" t="s">
        <v>123</v>
      </c>
      <c r="H52" s="15" t="s">
        <v>124</v>
      </c>
      <c r="J52" s="13">
        <v>10.0</v>
      </c>
    </row>
    <row r="53" ht="22.5" customHeight="1">
      <c r="A53" s="14">
        <v>46290.52711954861</v>
      </c>
      <c r="B53" s="15" t="s">
        <v>214</v>
      </c>
      <c r="C53" s="19" t="str">
        <f>IFERROR(__xludf.DUMMYFUNCTION("IF(B53="""","""",LOWER(REGEXREPLACE(B53,""[^A-Za-z0-9]"",""""))&amp;""-""&amp;TEXT(COUNTIF($B$2:B53,B53),""000""))"),"christmas-001")</f>
        <v>christmas-001</v>
      </c>
      <c r="D53" s="15" t="s">
        <v>216</v>
      </c>
      <c r="E53" s="16" t="s">
        <v>217</v>
      </c>
      <c r="F53" s="15">
        <v>200.0</v>
      </c>
      <c r="G53" s="15" t="s">
        <v>123</v>
      </c>
      <c r="H53" s="15" t="s">
        <v>124</v>
      </c>
      <c r="J53" s="13">
        <v>10.0</v>
      </c>
    </row>
    <row r="54" ht="22.5" customHeight="1">
      <c r="A54" s="14">
        <v>46290.52746703704</v>
      </c>
      <c r="B54" s="15" t="s">
        <v>214</v>
      </c>
      <c r="C54" s="19" t="str">
        <f>IFERROR(__xludf.DUMMYFUNCTION("IF(B54="""","""",LOWER(REGEXREPLACE(B54,""[^A-Za-z0-9]"",""""))&amp;""-""&amp;TEXT(COUNTIF($B$2:B54,B54),""000""))"),"christmas-002")</f>
        <v>christmas-002</v>
      </c>
      <c r="D54" s="15" t="s">
        <v>219</v>
      </c>
      <c r="E54" s="16" t="s">
        <v>220</v>
      </c>
      <c r="F54" s="15">
        <v>300.0</v>
      </c>
      <c r="G54" s="15" t="s">
        <v>123</v>
      </c>
      <c r="H54" s="15" t="s">
        <v>124</v>
      </c>
      <c r="J54" s="13">
        <v>10.0</v>
      </c>
    </row>
    <row r="55" ht="22.5" customHeight="1">
      <c r="A55" s="14">
        <v>46290.52821020833</v>
      </c>
      <c r="B55" s="15" t="s">
        <v>214</v>
      </c>
      <c r="C55" s="19" t="str">
        <f>IFERROR(__xludf.DUMMYFUNCTION("IF(B55="""","""",LOWER(REGEXREPLACE(B55,""[^A-Za-z0-9]"",""""))&amp;""-""&amp;TEXT(COUNTIF($B$2:B55,B55),""000""))"),"christmas-003")</f>
        <v>christmas-003</v>
      </c>
      <c r="D55" s="15" t="s">
        <v>222</v>
      </c>
      <c r="E55" s="16" t="s">
        <v>223</v>
      </c>
      <c r="F55" s="15">
        <v>200.0</v>
      </c>
      <c r="G55" s="15" t="s">
        <v>123</v>
      </c>
      <c r="H55" s="15" t="s">
        <v>124</v>
      </c>
      <c r="J55" s="13">
        <v>10.0</v>
      </c>
    </row>
    <row r="56" ht="22.5" customHeight="1">
      <c r="A56" s="14">
        <v>46290.52874517361</v>
      </c>
      <c r="B56" s="15" t="s">
        <v>214</v>
      </c>
      <c r="C56" s="19" t="str">
        <f>IFERROR(__xludf.DUMMYFUNCTION("IF(B56="""","""",LOWER(REGEXREPLACE(B56,""[^A-Za-z0-9]"",""""))&amp;""-""&amp;TEXT(COUNTIF($B$2:B56,B56),""000""))"),"christmas-004")</f>
        <v>christmas-004</v>
      </c>
      <c r="D56" s="15" t="s">
        <v>225</v>
      </c>
      <c r="E56" s="16" t="s">
        <v>226</v>
      </c>
      <c r="F56" s="15">
        <v>300.0</v>
      </c>
      <c r="G56" s="15" t="s">
        <v>123</v>
      </c>
      <c r="H56" s="15" t="s">
        <v>124</v>
      </c>
      <c r="J56" s="13">
        <v>10.0</v>
      </c>
    </row>
    <row r="57" ht="22.5" customHeight="1">
      <c r="A57" s="14">
        <v>46290.52916388889</v>
      </c>
      <c r="B57" s="15" t="s">
        <v>214</v>
      </c>
      <c r="C57" s="19" t="str">
        <f>IFERROR(__xludf.DUMMYFUNCTION("IF(B57="""","""",LOWER(REGEXREPLACE(B57,""[^A-Za-z0-9]"",""""))&amp;""-""&amp;TEXT(COUNTIF($B$2:B57,B57),""000""))"),"christmas-005")</f>
        <v>christmas-005</v>
      </c>
      <c r="D57" s="15" t="s">
        <v>228</v>
      </c>
      <c r="E57" s="16" t="s">
        <v>229</v>
      </c>
      <c r="F57" s="15">
        <v>200.0</v>
      </c>
      <c r="G57" s="15" t="s">
        <v>123</v>
      </c>
      <c r="H57" s="15" t="s">
        <v>124</v>
      </c>
      <c r="J57" s="13">
        <v>10.0</v>
      </c>
    </row>
    <row r="58" ht="22.5" customHeight="1">
      <c r="A58" s="14">
        <v>46290.529554733796</v>
      </c>
      <c r="B58" s="15" t="s">
        <v>214</v>
      </c>
      <c r="C58" s="19" t="str">
        <f>IFERROR(__xludf.DUMMYFUNCTION("IF(B58="""","""",LOWER(REGEXREPLACE(B58,""[^A-Za-z0-9]"",""""))&amp;""-""&amp;TEXT(COUNTIF($B$2:B58,B58),""000""))"),"christmas-006")</f>
        <v>christmas-006</v>
      </c>
      <c r="D58" s="15" t="s">
        <v>231</v>
      </c>
      <c r="E58" s="16" t="s">
        <v>232</v>
      </c>
      <c r="F58" s="15">
        <v>100.0</v>
      </c>
      <c r="G58" s="15" t="s">
        <v>123</v>
      </c>
      <c r="H58" s="15" t="s">
        <v>124</v>
      </c>
      <c r="J58" s="13">
        <v>10.0</v>
      </c>
    </row>
    <row r="59" ht="22.5" customHeight="1">
      <c r="A59" s="14">
        <v>46290.52994900463</v>
      </c>
      <c r="B59" s="15" t="s">
        <v>214</v>
      </c>
      <c r="C59" s="19" t="str">
        <f>IFERROR(__xludf.DUMMYFUNCTION("IF(B59="""","""",LOWER(REGEXREPLACE(B59,""[^A-Za-z0-9]"",""""))&amp;""-""&amp;TEXT(COUNTIF($B$2:B59,B59),""000""))"),"christmas-007")</f>
        <v>christmas-007</v>
      </c>
      <c r="D59" s="15" t="s">
        <v>234</v>
      </c>
      <c r="E59" s="16" t="s">
        <v>235</v>
      </c>
      <c r="F59" s="15">
        <v>200.0</v>
      </c>
      <c r="G59" s="15" t="s">
        <v>123</v>
      </c>
      <c r="H59" s="15" t="s">
        <v>124</v>
      </c>
      <c r="J59" s="13">
        <v>10.0</v>
      </c>
    </row>
    <row r="60" ht="22.5" customHeight="1">
      <c r="A60" s="14">
        <v>46290.5302871412</v>
      </c>
      <c r="B60" s="15" t="s">
        <v>214</v>
      </c>
      <c r="C60" s="19" t="str">
        <f>IFERROR(__xludf.DUMMYFUNCTION("IF(B60="""","""",LOWER(REGEXREPLACE(B60,""[^A-Za-z0-9]"",""""))&amp;""-""&amp;TEXT(COUNTIF($B$2:B60,B60),""000""))"),"christmas-008")</f>
        <v>christmas-008</v>
      </c>
      <c r="D60" s="15" t="s">
        <v>237</v>
      </c>
      <c r="E60" s="16" t="s">
        <v>238</v>
      </c>
      <c r="F60" s="15">
        <v>100.0</v>
      </c>
      <c r="G60" s="15" t="s">
        <v>123</v>
      </c>
      <c r="H60" s="15" t="s">
        <v>124</v>
      </c>
      <c r="J60" s="13">
        <v>10.0</v>
      </c>
    </row>
    <row r="61" ht="22.5" customHeight="1">
      <c r="A61" s="14">
        <v>46290.534300706015</v>
      </c>
      <c r="B61" s="15" t="s">
        <v>214</v>
      </c>
      <c r="C61" s="19" t="str">
        <f>IFERROR(__xludf.DUMMYFUNCTION("IF(B61="""","""",LOWER(REGEXREPLACE(B61,""[^A-Za-z0-9]"",""""))&amp;""-""&amp;TEXT(COUNTIF($B$2:B61,B61),""000""))"),"christmas-009")</f>
        <v>christmas-009</v>
      </c>
      <c r="D61" s="15" t="s">
        <v>240</v>
      </c>
      <c r="E61" s="16" t="s">
        <v>241</v>
      </c>
      <c r="F61" s="15">
        <v>400.0</v>
      </c>
      <c r="G61" s="15" t="s">
        <v>123</v>
      </c>
      <c r="H61" s="15" t="s">
        <v>124</v>
      </c>
      <c r="J61" s="13">
        <v>10.0</v>
      </c>
    </row>
    <row r="62" ht="22.5" customHeight="1">
      <c r="A62" s="14">
        <v>46290.53477375</v>
      </c>
      <c r="B62" s="15" t="s">
        <v>242</v>
      </c>
      <c r="C62" s="19" t="str">
        <f>IFERROR(__xludf.DUMMYFUNCTION("IF(B62="""","""",LOWER(REGEXREPLACE(B62,""[^A-Za-z0-9]"",""""))&amp;""-""&amp;TEXT(COUNTIF($B$2:B62,B62),""000""))"),"newyears-001")</f>
        <v>newyears-001</v>
      </c>
      <c r="D62" s="15" t="s">
        <v>244</v>
      </c>
      <c r="E62" s="16" t="s">
        <v>245</v>
      </c>
      <c r="F62" s="15">
        <v>200.0</v>
      </c>
      <c r="G62" s="15" t="s">
        <v>123</v>
      </c>
      <c r="H62" s="15" t="s">
        <v>124</v>
      </c>
      <c r="J62" s="13">
        <v>5.0</v>
      </c>
    </row>
    <row r="63" ht="22.5" customHeight="1">
      <c r="A63" s="14">
        <v>46290.53524143518</v>
      </c>
      <c r="B63" s="15" t="s">
        <v>242</v>
      </c>
      <c r="C63" s="19" t="str">
        <f>IFERROR(__xludf.DUMMYFUNCTION("IF(B63="""","""",LOWER(REGEXREPLACE(B63,""[^A-Za-z0-9]"",""""))&amp;""-""&amp;TEXT(COUNTIF($B$2:B63,B63),""000""))"),"newyears-002")</f>
        <v>newyears-002</v>
      </c>
      <c r="D63" s="15" t="s">
        <v>247</v>
      </c>
      <c r="E63" s="16" t="s">
        <v>248</v>
      </c>
      <c r="F63" s="15">
        <v>400.0</v>
      </c>
      <c r="G63" s="15" t="s">
        <v>123</v>
      </c>
      <c r="H63" s="15" t="s">
        <v>124</v>
      </c>
      <c r="J63" s="13">
        <v>5.0</v>
      </c>
    </row>
    <row r="64" ht="22.5" customHeight="1">
      <c r="A64" s="14">
        <v>46290.53568756944</v>
      </c>
      <c r="B64" s="15" t="s">
        <v>242</v>
      </c>
      <c r="C64" s="19" t="str">
        <f>IFERROR(__xludf.DUMMYFUNCTION("IF(B64="""","""",LOWER(REGEXREPLACE(B64,""[^A-Za-z0-9]"",""""))&amp;""-""&amp;TEXT(COUNTIF($B$2:B64,B64),""000""))"),"newyears-003")</f>
        <v>newyears-003</v>
      </c>
      <c r="D64" s="15" t="s">
        <v>250</v>
      </c>
      <c r="E64" s="16" t="s">
        <v>251</v>
      </c>
      <c r="F64" s="15">
        <v>200.0</v>
      </c>
      <c r="G64" s="15" t="s">
        <v>123</v>
      </c>
      <c r="H64" s="15" t="s">
        <v>124</v>
      </c>
      <c r="J64" s="13">
        <v>5.0</v>
      </c>
    </row>
    <row r="65" ht="22.5" customHeight="1">
      <c r="A65" s="14">
        <v>46290.53798415509</v>
      </c>
      <c r="B65" s="15" t="s">
        <v>214</v>
      </c>
      <c r="C65" s="19" t="str">
        <f>IFERROR(__xludf.DUMMYFUNCTION("IF(B65="""","""",LOWER(REGEXREPLACE(B65,""[^A-Za-z0-9]"",""""))&amp;""-""&amp;TEXT(COUNTIF($B$2:B65,B65),""000""))"),"christmas-010")</f>
        <v>christmas-010</v>
      </c>
      <c r="D65" s="15" t="s">
        <v>253</v>
      </c>
      <c r="E65" s="16" t="s">
        <v>254</v>
      </c>
      <c r="F65" s="15">
        <v>200.0</v>
      </c>
      <c r="G65" s="15" t="s">
        <v>123</v>
      </c>
      <c r="H65" s="15" t="s">
        <v>124</v>
      </c>
      <c r="J65" s="13">
        <v>10.0</v>
      </c>
    </row>
    <row r="66" ht="22.5" customHeight="1">
      <c r="A66" s="14">
        <v>46290.539193171295</v>
      </c>
      <c r="B66" s="15" t="s">
        <v>242</v>
      </c>
      <c r="C66" s="19" t="str">
        <f>IFERROR(__xludf.DUMMYFUNCTION("IF(B66="""","""",LOWER(REGEXREPLACE(B66,""[^A-Za-z0-9]"",""""))&amp;""-""&amp;TEXT(COUNTIF($B$2:B66,B66),""000""))"),"newyears-004")</f>
        <v>newyears-004</v>
      </c>
      <c r="D66" s="15" t="s">
        <v>256</v>
      </c>
      <c r="E66" s="16" t="s">
        <v>257</v>
      </c>
      <c r="F66" s="15">
        <v>200.0</v>
      </c>
      <c r="G66" s="15" t="s">
        <v>123</v>
      </c>
      <c r="H66" s="15" t="s">
        <v>124</v>
      </c>
      <c r="J66" s="13">
        <v>5.0</v>
      </c>
    </row>
    <row r="67" ht="22.5" customHeight="1">
      <c r="A67" s="14">
        <v>46290.540530474536</v>
      </c>
      <c r="B67" s="15" t="s">
        <v>242</v>
      </c>
      <c r="C67" s="19" t="str">
        <f>IFERROR(__xludf.DUMMYFUNCTION("IF(B67="""","""",LOWER(REGEXREPLACE(B67,""[^A-Za-z0-9]"",""""))&amp;""-""&amp;TEXT(COUNTIF($B$2:B67,B67),""000""))"),"newyears-005")</f>
        <v>newyears-005</v>
      </c>
      <c r="D67" s="15" t="s">
        <v>259</v>
      </c>
      <c r="E67" s="16" t="s">
        <v>260</v>
      </c>
      <c r="F67" s="15">
        <v>200.0</v>
      </c>
      <c r="G67" s="15" t="s">
        <v>123</v>
      </c>
      <c r="H67" s="15" t="s">
        <v>124</v>
      </c>
      <c r="J67" s="13">
        <v>5.0</v>
      </c>
    </row>
    <row r="68" ht="22.5" customHeight="1">
      <c r="A68" s="14">
        <v>46290.54243090277</v>
      </c>
      <c r="B68" s="15" t="s">
        <v>261</v>
      </c>
      <c r="C68" s="19" t="str">
        <f>IFERROR(__xludf.DUMMYFUNCTION("IF(B68="""","""",LOWER(REGEXREPLACE(B68,""[^A-Za-z0-9]"",""""))&amp;""-""&amp;TEXT(COUNTIF($B$2:B68,B68),""000""))"),"4thofjuly-001")</f>
        <v>4thofjuly-001</v>
      </c>
      <c r="D68" s="15" t="s">
        <v>263</v>
      </c>
      <c r="E68" s="16" t="s">
        <v>264</v>
      </c>
      <c r="F68" s="15">
        <v>200.0</v>
      </c>
      <c r="G68" s="15" t="s">
        <v>123</v>
      </c>
      <c r="H68" s="15" t="s">
        <v>124</v>
      </c>
      <c r="J68" s="13">
        <v>7.0</v>
      </c>
    </row>
    <row r="69" ht="22.5" customHeight="1">
      <c r="A69" s="14">
        <v>46290.54285275463</v>
      </c>
      <c r="B69" s="15" t="s">
        <v>261</v>
      </c>
      <c r="C69" s="19" t="str">
        <f>IFERROR(__xludf.DUMMYFUNCTION("IF(B69="""","""",LOWER(REGEXREPLACE(B69,""[^A-Za-z0-9]"",""""))&amp;""-""&amp;TEXT(COUNTIF($B$2:B69,B69),""000""))"),"4thofjuly-002")</f>
        <v>4thofjuly-002</v>
      </c>
      <c r="D69" s="15" t="s">
        <v>266</v>
      </c>
      <c r="E69" s="16" t="s">
        <v>267</v>
      </c>
      <c r="F69" s="15">
        <v>300.0</v>
      </c>
      <c r="G69" s="15" t="s">
        <v>123</v>
      </c>
      <c r="H69" s="15" t="s">
        <v>124</v>
      </c>
      <c r="J69" s="13">
        <v>7.0</v>
      </c>
    </row>
    <row r="70" ht="22.5" customHeight="1">
      <c r="A70" s="14">
        <v>46290.543515694444</v>
      </c>
      <c r="B70" s="15" t="s">
        <v>261</v>
      </c>
      <c r="C70" s="19" t="str">
        <f>IFERROR(__xludf.DUMMYFUNCTION("IF(B70="""","""",LOWER(REGEXREPLACE(B70,""[^A-Za-z0-9]"",""""))&amp;""-""&amp;TEXT(COUNTIF($B$2:B70,B70),""000""))"),"4thofjuly-003")</f>
        <v>4thofjuly-003</v>
      </c>
      <c r="D70" s="15" t="s">
        <v>100</v>
      </c>
      <c r="E70" s="16" t="s">
        <v>269</v>
      </c>
      <c r="F70" s="15">
        <v>200.0</v>
      </c>
      <c r="G70" s="15" t="s">
        <v>123</v>
      </c>
      <c r="H70" s="15" t="s">
        <v>124</v>
      </c>
      <c r="J70" s="13">
        <v>7.0</v>
      </c>
    </row>
    <row r="71" ht="22.5" customHeight="1">
      <c r="A71" s="14">
        <v>46290.54392228009</v>
      </c>
      <c r="B71" s="15" t="s">
        <v>261</v>
      </c>
      <c r="C71" s="19" t="str">
        <f>IFERROR(__xludf.DUMMYFUNCTION("IF(B71="""","""",LOWER(REGEXREPLACE(B71,""[^A-Za-z0-9]"",""""))&amp;""-""&amp;TEXT(COUNTIF($B$2:B71,B71),""000""))"),"4thofjuly-004")</f>
        <v>4thofjuly-004</v>
      </c>
      <c r="D71" s="15" t="s">
        <v>271</v>
      </c>
      <c r="E71" s="16" t="s">
        <v>272</v>
      </c>
      <c r="F71" s="15">
        <v>200.0</v>
      </c>
      <c r="G71" s="15" t="s">
        <v>123</v>
      </c>
      <c r="H71" s="15" t="s">
        <v>124</v>
      </c>
      <c r="J71" s="13">
        <v>7.0</v>
      </c>
    </row>
    <row r="72" ht="22.5" customHeight="1">
      <c r="A72" s="14">
        <v>46290.54439170139</v>
      </c>
      <c r="B72" s="15" t="s">
        <v>261</v>
      </c>
      <c r="C72" s="19" t="str">
        <f>IFERROR(__xludf.DUMMYFUNCTION("IF(B72="""","""",LOWER(REGEXREPLACE(B72,""[^A-Za-z0-9]"",""""))&amp;""-""&amp;TEXT(COUNTIF($B$2:B72,B72),""000""))"),"4thofjuly-005")</f>
        <v>4thofjuly-005</v>
      </c>
      <c r="D72" s="15" t="s">
        <v>250</v>
      </c>
      <c r="E72" s="16" t="s">
        <v>274</v>
      </c>
      <c r="F72" s="15">
        <v>200.0</v>
      </c>
      <c r="G72" s="15" t="s">
        <v>123</v>
      </c>
      <c r="H72" s="15" t="s">
        <v>124</v>
      </c>
      <c r="J72" s="13">
        <v>7.0</v>
      </c>
    </row>
    <row r="73" ht="22.5" customHeight="1">
      <c r="A73" s="14">
        <v>46290.54488944444</v>
      </c>
      <c r="B73" s="15" t="s">
        <v>261</v>
      </c>
      <c r="C73" s="19" t="str">
        <f>IFERROR(__xludf.DUMMYFUNCTION("IF(B73="""","""",LOWER(REGEXREPLACE(B73,""[^A-Za-z0-9]"",""""))&amp;""-""&amp;TEXT(COUNTIF($B$2:B73,B73),""000""))"),"4thofjuly-006")</f>
        <v>4thofjuly-006</v>
      </c>
      <c r="D73" s="15" t="s">
        <v>276</v>
      </c>
      <c r="E73" s="16" t="s">
        <v>277</v>
      </c>
      <c r="F73" s="15">
        <v>100.0</v>
      </c>
      <c r="G73" s="15" t="s">
        <v>123</v>
      </c>
      <c r="H73" s="15" t="s">
        <v>124</v>
      </c>
      <c r="J73" s="13">
        <v>7.0</v>
      </c>
    </row>
    <row r="74" ht="22.5" customHeight="1">
      <c r="A74" s="14">
        <v>46290.54598972222</v>
      </c>
      <c r="B74" s="15" t="s">
        <v>261</v>
      </c>
      <c r="C74" s="19" t="str">
        <f>IFERROR(__xludf.DUMMYFUNCTION("IF(B74="""","""",LOWER(REGEXREPLACE(B74,""[^A-Za-z0-9]"",""""))&amp;""-""&amp;TEXT(COUNTIF($B$2:B74,B74),""000""))"),"4thofjuly-007")</f>
        <v>4thofjuly-007</v>
      </c>
      <c r="D74" s="15" t="s">
        <v>279</v>
      </c>
      <c r="E74" s="16" t="s">
        <v>280</v>
      </c>
      <c r="F74" s="15">
        <v>400.0</v>
      </c>
      <c r="G74" s="15" t="s">
        <v>123</v>
      </c>
      <c r="H74" s="15" t="s">
        <v>124</v>
      </c>
      <c r="J74" s="13">
        <v>7.0</v>
      </c>
    </row>
    <row r="75" ht="22.5" customHeight="1">
      <c r="A75" s="14">
        <v>46290.659433900466</v>
      </c>
      <c r="B75" s="15" t="s">
        <v>78</v>
      </c>
      <c r="C75" s="19" t="str">
        <f>IFERROR(__xludf.DUMMYFUNCTION("IF(B75="""","""",LOWER(REGEXREPLACE(B75,""[^A-Za-z0-9]"",""""))&amp;""-""&amp;TEXT(COUNTIF($B$2:B75,B75),""000""))"),"junkfood-003")</f>
        <v>junkfood-003</v>
      </c>
      <c r="D75" s="15" t="s">
        <v>282</v>
      </c>
      <c r="E75" s="16" t="s">
        <v>283</v>
      </c>
      <c r="F75" s="15">
        <v>200.0</v>
      </c>
      <c r="G75" s="15" t="s">
        <v>123</v>
      </c>
      <c r="H75" s="15" t="s">
        <v>124</v>
      </c>
      <c r="J75" s="13">
        <v>5.0</v>
      </c>
    </row>
    <row r="76" ht="22.5" customHeight="1">
      <c r="A76" s="14">
        <v>46290.66024828704</v>
      </c>
      <c r="B76" s="15" t="s">
        <v>78</v>
      </c>
      <c r="C76" s="19" t="str">
        <f>IFERROR(__xludf.DUMMYFUNCTION("IF(B76="""","""",LOWER(REGEXREPLACE(B76,""[^A-Za-z0-9]"",""""))&amp;""-""&amp;TEXT(COUNTIF($B$2:B76,B76),""000""))"),"junkfood-004")</f>
        <v>junkfood-004</v>
      </c>
      <c r="D76" s="15" t="s">
        <v>285</v>
      </c>
      <c r="E76" s="16" t="s">
        <v>286</v>
      </c>
      <c r="F76" s="15">
        <v>200.0</v>
      </c>
      <c r="G76" s="15" t="s">
        <v>123</v>
      </c>
      <c r="H76" s="15" t="s">
        <v>124</v>
      </c>
      <c r="J76" s="13">
        <v>5.0</v>
      </c>
    </row>
    <row r="77" ht="22.5" customHeight="1">
      <c r="A77" s="14">
        <v>46290.66375407408</v>
      </c>
      <c r="B77" s="15" t="s">
        <v>78</v>
      </c>
      <c r="C77" s="19" t="str">
        <f>IFERROR(__xludf.DUMMYFUNCTION("IF(B77="""","""",LOWER(REGEXREPLACE(B77,""[^A-Za-z0-9]"",""""))&amp;""-""&amp;TEXT(COUNTIF($B$2:B77,B77),""000""))"),"junkfood-005")</f>
        <v>junkfood-005</v>
      </c>
      <c r="D77" s="15" t="s">
        <v>288</v>
      </c>
      <c r="E77" s="16" t="s">
        <v>289</v>
      </c>
      <c r="F77" s="15">
        <v>400.0</v>
      </c>
      <c r="G77" s="15" t="s">
        <v>123</v>
      </c>
      <c r="H77" s="15" t="s">
        <v>124</v>
      </c>
      <c r="I77" s="15" t="s">
        <v>290</v>
      </c>
      <c r="J77" s="12">
        <v>5.0</v>
      </c>
    </row>
    <row r="78" ht="22.5" customHeight="1">
      <c r="A78" s="14">
        <v>46290.9331146412</v>
      </c>
      <c r="B78" s="15" t="s">
        <v>18</v>
      </c>
      <c r="C78" s="19" t="str">
        <f>IFERROR(__xludf.DUMMYFUNCTION("IF(B78="""","""",LOWER(REGEXREPLACE(B78,""[^A-Za-z0-9]"",""""))&amp;""-""&amp;TEXT(COUNTIF($B$2:B78,B78),""000""))"),"cakespies-004")</f>
        <v>cakespies-004</v>
      </c>
      <c r="D78" s="15" t="s">
        <v>292</v>
      </c>
      <c r="E78" s="16" t="s">
        <v>293</v>
      </c>
      <c r="F78" s="15">
        <v>200.0</v>
      </c>
      <c r="H78" s="15" t="s">
        <v>124</v>
      </c>
      <c r="J78" s="19">
        <v>5.0</v>
      </c>
    </row>
    <row r="79" ht="22.5" customHeight="1">
      <c r="A79" s="14">
        <v>46290.934174305556</v>
      </c>
      <c r="B79" s="15" t="s">
        <v>18</v>
      </c>
      <c r="C79" s="19" t="str">
        <f>IFERROR(__xludf.DUMMYFUNCTION("IF(B79="""","""",LOWER(REGEXREPLACE(B79,""[^A-Za-z0-9]"",""""))&amp;""-""&amp;TEXT(COUNTIF($B$2:B79,B79),""000""))"),"cakespies-005")</f>
        <v>cakespies-005</v>
      </c>
      <c r="D79" s="15" t="s">
        <v>295</v>
      </c>
      <c r="E79" s="16" t="s">
        <v>296</v>
      </c>
      <c r="F79" s="15">
        <v>300.0</v>
      </c>
      <c r="G79" s="15" t="s">
        <v>123</v>
      </c>
      <c r="H79" s="15" t="s">
        <v>124</v>
      </c>
      <c r="J79" s="19">
        <v>5.0</v>
      </c>
    </row>
    <row r="80" ht="22.5" customHeight="1">
      <c r="A80" s="14">
        <v>46290.93504606481</v>
      </c>
      <c r="B80" s="15" t="s">
        <v>40</v>
      </c>
      <c r="C80" s="19" t="str">
        <f>IFERROR(__xludf.DUMMYFUNCTION("IF(B80="""","""",LOWER(REGEXREPLACE(B80,""[^A-Za-z0-9]"",""""))&amp;""-""&amp;TEXT(COUNTIF($B$2:B80,B80),""000""))"),"vegetables-005")</f>
        <v>vegetables-005</v>
      </c>
      <c r="D80" s="15" t="s">
        <v>298</v>
      </c>
      <c r="E80" s="16" t="s">
        <v>299</v>
      </c>
      <c r="F80" s="15">
        <v>400.0</v>
      </c>
      <c r="G80" s="15" t="s">
        <v>123</v>
      </c>
      <c r="H80" s="15" t="s">
        <v>124</v>
      </c>
      <c r="J80" s="19">
        <v>6.0</v>
      </c>
    </row>
    <row r="81" ht="22.5" customHeight="1">
      <c r="A81" s="14">
        <v>46290.9359155787</v>
      </c>
      <c r="B81" s="15" t="s">
        <v>40</v>
      </c>
      <c r="C81" s="19" t="str">
        <f>IFERROR(__xludf.DUMMYFUNCTION("IF(B81="""","""",LOWER(REGEXREPLACE(B81,""[^A-Za-z0-9]"",""""))&amp;""-""&amp;TEXT(COUNTIF($B$2:B81,B81),""000""))"),"vegetables-006")</f>
        <v>vegetables-006</v>
      </c>
      <c r="D81" s="15" t="s">
        <v>301</v>
      </c>
      <c r="E81" s="16" t="s">
        <v>302</v>
      </c>
      <c r="F81" s="15">
        <v>400.0</v>
      </c>
      <c r="G81" s="15" t="s">
        <v>123</v>
      </c>
      <c r="H81" s="15" t="s">
        <v>124</v>
      </c>
      <c r="J81" s="19">
        <v>6.0</v>
      </c>
    </row>
    <row r="82" ht="22.5" customHeight="1">
      <c r="A82" s="14">
        <v>46290.93859685185</v>
      </c>
      <c r="B82" s="15" t="s">
        <v>109</v>
      </c>
      <c r="C82" s="19" t="str">
        <f>IFERROR(__xludf.DUMMYFUNCTION("IF(B82="""","""",LOWER(REGEXREPLACE(B82,""[^A-Za-z0-9]"",""""))&amp;""-""&amp;TEXT(COUNTIF($B$2:B82,B82),""000""))"),"soupsstews-002")</f>
        <v>soupsstews-002</v>
      </c>
      <c r="D82" s="15" t="s">
        <v>304</v>
      </c>
      <c r="E82" s="16" t="s">
        <v>305</v>
      </c>
      <c r="F82" s="15">
        <v>200.0</v>
      </c>
      <c r="G82" s="15" t="s">
        <v>123</v>
      </c>
      <c r="H82" s="15" t="s">
        <v>124</v>
      </c>
      <c r="J82" s="19">
        <v>5.0</v>
      </c>
    </row>
    <row r="83" ht="22.5" customHeight="1">
      <c r="A83" s="14">
        <v>46290.939410023144</v>
      </c>
      <c r="B83" s="15" t="s">
        <v>109</v>
      </c>
      <c r="C83" s="19" t="str">
        <f>IFERROR(__xludf.DUMMYFUNCTION("IF(B83="""","""",LOWER(REGEXREPLACE(B83,""[^A-Za-z0-9]"",""""))&amp;""-""&amp;TEXT(COUNTIF($B$2:B83,B83),""000""))"),"soupsstews-003")</f>
        <v>soupsstews-003</v>
      </c>
      <c r="D83" s="15" t="s">
        <v>307</v>
      </c>
      <c r="E83" s="16" t="s">
        <v>308</v>
      </c>
      <c r="F83" s="15">
        <v>300.0</v>
      </c>
      <c r="G83" s="15" t="s">
        <v>123</v>
      </c>
      <c r="H83" s="15" t="s">
        <v>124</v>
      </c>
      <c r="J83" s="19">
        <v>5.0</v>
      </c>
    </row>
    <row r="84" ht="22.5" customHeight="1">
      <c r="A84" s="14">
        <v>46290.94056945602</v>
      </c>
      <c r="B84" s="15" t="s">
        <v>89</v>
      </c>
      <c r="C84" s="19" t="str">
        <f>IFERROR(__xludf.DUMMYFUNCTION("IF(B84="""","""",LOWER(REGEXREPLACE(B84,""[^A-Za-z0-9]"",""""))&amp;""-""&amp;TEXT(COUNTIF($B$2:B84,B84),""000""))"),"breakfast-003")</f>
        <v>breakfast-003</v>
      </c>
      <c r="D84" s="15" t="s">
        <v>310</v>
      </c>
      <c r="E84" s="16" t="s">
        <v>311</v>
      </c>
      <c r="F84" s="15">
        <v>300.0</v>
      </c>
      <c r="G84" s="15" t="s">
        <v>123</v>
      </c>
      <c r="H84" s="15" t="s">
        <v>124</v>
      </c>
      <c r="J84" s="19">
        <v>5.0</v>
      </c>
    </row>
    <row r="85" ht="22.5" customHeight="1">
      <c r="A85" s="14">
        <v>46290.94192175926</v>
      </c>
      <c r="B85" s="15" t="s">
        <v>89</v>
      </c>
      <c r="C85" s="19" t="str">
        <f>IFERROR(__xludf.DUMMYFUNCTION("IF(B85="""","""",LOWER(REGEXREPLACE(B85,""[^A-Za-z0-9]"",""""))&amp;""-""&amp;TEXT(COUNTIF($B$2:B85,B85),""000""))"),"breakfast-004")</f>
        <v>breakfast-004</v>
      </c>
      <c r="D85" s="15" t="s">
        <v>313</v>
      </c>
      <c r="E85" s="16" t="s">
        <v>314</v>
      </c>
      <c r="F85" s="15">
        <v>200.0</v>
      </c>
      <c r="G85" s="15" t="s">
        <v>123</v>
      </c>
      <c r="H85" s="15" t="s">
        <v>124</v>
      </c>
      <c r="J85" s="19">
        <v>5.0</v>
      </c>
    </row>
    <row r="86" ht="22.5" customHeight="1">
      <c r="A86" s="14">
        <v>46290.94568484953</v>
      </c>
      <c r="B86" s="15" t="s">
        <v>89</v>
      </c>
      <c r="C86" s="19" t="str">
        <f>IFERROR(__xludf.DUMMYFUNCTION("IF(B86="""","""",LOWER(REGEXREPLACE(B86,""[^A-Za-z0-9]"",""""))&amp;""-""&amp;TEXT(COUNTIF($B$2:B86,B86),""000""))"),"breakfast-005")</f>
        <v>breakfast-005</v>
      </c>
      <c r="D86" s="15" t="s">
        <v>316</v>
      </c>
      <c r="E86" s="16" t="s">
        <v>317</v>
      </c>
      <c r="F86" s="15">
        <v>500.0</v>
      </c>
      <c r="G86" s="15" t="s">
        <v>123</v>
      </c>
      <c r="H86" s="15" t="s">
        <v>124</v>
      </c>
      <c r="J86" s="19">
        <v>5.0</v>
      </c>
    </row>
    <row r="87" ht="22.5" customHeight="1">
      <c r="A87" s="14">
        <v>46290.94854344908</v>
      </c>
      <c r="B87" s="15" t="s">
        <v>109</v>
      </c>
      <c r="C87" s="19" t="str">
        <f>IFERROR(__xludf.DUMMYFUNCTION("IF(B87="""","""",LOWER(REGEXREPLACE(B87,""[^A-Za-z0-9]"",""""))&amp;""-""&amp;TEXT(COUNTIF($B$2:B87,B87),""000""))"),"soupsstews-004")</f>
        <v>soupsstews-004</v>
      </c>
      <c r="D87" s="15" t="s">
        <v>319</v>
      </c>
      <c r="E87" s="16" t="s">
        <v>320</v>
      </c>
      <c r="F87" s="15">
        <v>300.0</v>
      </c>
      <c r="G87" s="15" t="s">
        <v>123</v>
      </c>
      <c r="H87" s="15" t="s">
        <v>124</v>
      </c>
      <c r="J87" s="19">
        <v>5.0</v>
      </c>
    </row>
    <row r="88" ht="22.5" customHeight="1">
      <c r="A88" s="14">
        <v>46290.949757685186</v>
      </c>
      <c r="B88" s="15" t="s">
        <v>109</v>
      </c>
      <c r="C88" s="19" t="str">
        <f>IFERROR(__xludf.DUMMYFUNCTION("IF(B88="""","""",LOWER(REGEXREPLACE(B88,""[^A-Za-z0-9]"",""""))&amp;""-""&amp;TEXT(COUNTIF($B$2:B88,B88),""000""))"),"soupsstews-005")</f>
        <v>soupsstews-005</v>
      </c>
      <c r="D88" s="15" t="s">
        <v>322</v>
      </c>
      <c r="E88" s="16" t="s">
        <v>323</v>
      </c>
      <c r="F88" s="15">
        <v>400.0</v>
      </c>
      <c r="G88" s="15" t="s">
        <v>123</v>
      </c>
      <c r="H88" s="15" t="s">
        <v>124</v>
      </c>
      <c r="J88" s="19">
        <v>5.0</v>
      </c>
    </row>
    <row r="89" ht="22.5" customHeight="1">
      <c r="A89" s="14">
        <v>46290.951839490735</v>
      </c>
      <c r="B89" s="15" t="s">
        <v>114</v>
      </c>
      <c r="C89" s="19" t="str">
        <f>IFERROR(__xludf.DUMMYFUNCTION("IF(B89="""","""",LOWER(REGEXREPLACE(B89,""[^A-Za-z0-9]"",""""))&amp;""-""&amp;TEXT(COUNTIF($B$2:B89,B89),""000""))"),"nuts-002")</f>
        <v>nuts-002</v>
      </c>
      <c r="D89" s="15" t="s">
        <v>325</v>
      </c>
      <c r="E89" s="16" t="s">
        <v>326</v>
      </c>
      <c r="F89" s="15">
        <v>400.0</v>
      </c>
      <c r="G89" s="15" t="s">
        <v>123</v>
      </c>
      <c r="H89" s="15" t="s">
        <v>124</v>
      </c>
      <c r="J89" s="19">
        <v>5.0</v>
      </c>
    </row>
    <row r="90" ht="22.5" customHeight="1">
      <c r="A90" s="14">
        <v>46290.95250304398</v>
      </c>
      <c r="B90" s="15" t="s">
        <v>114</v>
      </c>
      <c r="C90" s="19" t="str">
        <f>IFERROR(__xludf.DUMMYFUNCTION("IF(B90="""","""",LOWER(REGEXREPLACE(B90,""[^A-Za-z0-9]"",""""))&amp;""-""&amp;TEXT(COUNTIF($B$2:B90,B90),""000""))"),"nuts-003")</f>
        <v>nuts-003</v>
      </c>
      <c r="D90" s="15" t="s">
        <v>328</v>
      </c>
      <c r="E90" s="16" t="s">
        <v>329</v>
      </c>
      <c r="F90" s="15">
        <v>500.0</v>
      </c>
      <c r="G90" s="15" t="s">
        <v>123</v>
      </c>
      <c r="H90" s="15" t="s">
        <v>124</v>
      </c>
      <c r="J90" s="19">
        <v>5.0</v>
      </c>
    </row>
    <row r="91" ht="22.5" customHeight="1">
      <c r="A91" s="14">
        <v>46290.95358785879</v>
      </c>
      <c r="B91" s="15" t="s">
        <v>114</v>
      </c>
      <c r="C91" s="19" t="str">
        <f>IFERROR(__xludf.DUMMYFUNCTION("IF(B91="""","""",LOWER(REGEXREPLACE(B91,""[^A-Za-z0-9]"",""""))&amp;""-""&amp;TEXT(COUNTIF($B$2:B91,B91),""000""))"),"nuts-004")</f>
        <v>nuts-004</v>
      </c>
      <c r="D91" s="15" t="s">
        <v>331</v>
      </c>
      <c r="E91" s="16" t="s">
        <v>332</v>
      </c>
      <c r="F91" s="15">
        <v>400.0</v>
      </c>
      <c r="G91" s="15" t="s">
        <v>123</v>
      </c>
      <c r="H91" s="15" t="s">
        <v>124</v>
      </c>
      <c r="J91" s="19">
        <v>5.0</v>
      </c>
    </row>
    <row r="92" ht="22.5" customHeight="1">
      <c r="A92" s="14">
        <v>46290.954700393515</v>
      </c>
      <c r="B92" s="15" t="s">
        <v>114</v>
      </c>
      <c r="C92" s="19" t="str">
        <f>IFERROR(__xludf.DUMMYFUNCTION("IF(B92="""","""",LOWER(REGEXREPLACE(B92,""[^A-Za-z0-9]"",""""))&amp;""-""&amp;TEXT(COUNTIF($B$2:B92,B92),""000""))"),"nuts-005")</f>
        <v>nuts-005</v>
      </c>
      <c r="D92" s="15" t="s">
        <v>334</v>
      </c>
      <c r="E92" s="16" t="s">
        <v>335</v>
      </c>
      <c r="F92" s="15">
        <v>400.0</v>
      </c>
      <c r="G92" s="15" t="s">
        <v>123</v>
      </c>
      <c r="H92" s="15" t="s">
        <v>124</v>
      </c>
      <c r="J92" s="19">
        <v>5.0</v>
      </c>
    </row>
    <row r="93" ht="22.5" customHeight="1">
      <c r="A93" s="14">
        <v>46291.087483125</v>
      </c>
      <c r="B93" s="15" t="s">
        <v>119</v>
      </c>
      <c r="C93" s="19" t="str">
        <f>IFERROR(__xludf.DUMMYFUNCTION("IF(B93="""","""",LOWER(REGEXREPLACE(B93,""[^A-Za-z0-9]"",""""))&amp;""-""&amp;TEXT(COUNTIF($B$2:B93,B93),""000""))"),"bakedgoods-002")</f>
        <v>bakedgoods-002</v>
      </c>
      <c r="D93" s="15" t="s">
        <v>337</v>
      </c>
      <c r="E93" s="16" t="s">
        <v>338</v>
      </c>
      <c r="F93" s="15">
        <v>100.0</v>
      </c>
      <c r="G93" s="15" t="s">
        <v>123</v>
      </c>
      <c r="H93" s="15" t="s">
        <v>124</v>
      </c>
      <c r="J93" s="19">
        <v>5.0</v>
      </c>
    </row>
    <row r="94" ht="22.5" customHeight="1">
      <c r="A94" s="14">
        <v>46291.08835475694</v>
      </c>
      <c r="B94" s="15" t="s">
        <v>119</v>
      </c>
      <c r="C94" s="19" t="str">
        <f>IFERROR(__xludf.DUMMYFUNCTION("IF(B94="""","""",LOWER(REGEXREPLACE(B94,""[^A-Za-z0-9]"",""""))&amp;""-""&amp;TEXT(COUNTIF($B$2:B94,B94),""000""))"),"bakedgoods-003")</f>
        <v>bakedgoods-003</v>
      </c>
      <c r="D94" s="15" t="s">
        <v>340</v>
      </c>
      <c r="E94" s="16" t="s">
        <v>341</v>
      </c>
      <c r="F94" s="15">
        <v>500.0</v>
      </c>
      <c r="G94" s="15" t="s">
        <v>123</v>
      </c>
      <c r="H94" s="15" t="s">
        <v>124</v>
      </c>
      <c r="J94" s="19">
        <v>5.0</v>
      </c>
    </row>
    <row r="95" ht="22.5" customHeight="1">
      <c r="A95" s="14">
        <v>46291.08954347222</v>
      </c>
      <c r="B95" s="15" t="s">
        <v>119</v>
      </c>
      <c r="C95" s="19" t="str">
        <f>IFERROR(__xludf.DUMMYFUNCTION("IF(B95="""","""",LOWER(REGEXREPLACE(B95,""[^A-Za-z0-9]"",""""))&amp;""-""&amp;TEXT(COUNTIF($B$2:B95,B95),""000""))"),"bakedgoods-004")</f>
        <v>bakedgoods-004</v>
      </c>
      <c r="D95" s="15" t="s">
        <v>343</v>
      </c>
      <c r="E95" s="16" t="s">
        <v>344</v>
      </c>
      <c r="F95" s="15">
        <v>200.0</v>
      </c>
      <c r="G95" s="15" t="s">
        <v>123</v>
      </c>
      <c r="H95" s="15" t="s">
        <v>124</v>
      </c>
      <c r="J95" s="19">
        <v>5.0</v>
      </c>
    </row>
    <row r="96" ht="22.5" customHeight="1">
      <c r="A96" s="14">
        <v>46291.09044486111</v>
      </c>
      <c r="B96" s="15" t="s">
        <v>119</v>
      </c>
      <c r="C96" s="19" t="str">
        <f>IFERROR(__xludf.DUMMYFUNCTION("IF(B96="""","""",LOWER(REGEXREPLACE(B96,""[^A-Za-z0-9]"",""""))&amp;""-""&amp;TEXT(COUNTIF($B$2:B96,B96),""000""))"),"bakedgoods-005")</f>
        <v>bakedgoods-005</v>
      </c>
      <c r="D96" s="15" t="s">
        <v>346</v>
      </c>
      <c r="E96" s="16" t="s">
        <v>347</v>
      </c>
      <c r="F96" s="15">
        <v>200.0</v>
      </c>
      <c r="G96" s="15" t="s">
        <v>123</v>
      </c>
      <c r="J96" s="19">
        <v>5.0</v>
      </c>
    </row>
    <row r="97" ht="22.5" customHeight="1">
      <c r="A97" s="14">
        <v>46290.54598972222</v>
      </c>
      <c r="B97" s="22" t="s">
        <v>348</v>
      </c>
      <c r="C97" s="13" t="str">
        <f>IFERROR(__xludf.DUMMYFUNCTION("IF(B97="""","""",LOWER(REGEXREPLACE(B97,""[^A-Za-z0-9]"",""""))&amp;""-""&amp;TEXT(COUNTIF($B$2:B97,B97),""000""))"),"fooddrinklogos-001")</f>
        <v>fooddrinklogos-001</v>
      </c>
      <c r="D97" s="23" t="s">
        <v>350</v>
      </c>
      <c r="E97" s="24" t="s">
        <v>351</v>
      </c>
      <c r="F97" s="25">
        <v>100.0</v>
      </c>
      <c r="G97" s="15" t="s">
        <v>123</v>
      </c>
      <c r="H97" s="26" t="s">
        <v>352</v>
      </c>
      <c r="I97" s="27" t="s">
        <v>353</v>
      </c>
      <c r="J97" s="28">
        <v>5.0</v>
      </c>
    </row>
    <row r="98" ht="22.5" customHeight="1">
      <c r="A98" s="14">
        <v>46290.54598972222</v>
      </c>
      <c r="B98" s="29" t="s">
        <v>348</v>
      </c>
      <c r="C98" s="13" t="str">
        <f>IFERROR(__xludf.DUMMYFUNCTION("IF(B98="""","""",LOWER(REGEXREPLACE(B98,""[^A-Za-z0-9]"",""""))&amp;""-""&amp;TEXT(COUNTIF($B$2:B98,B98),""000""))"),"fooddrinklogos-002")</f>
        <v>fooddrinklogos-002</v>
      </c>
      <c r="D98" s="30" t="s">
        <v>355</v>
      </c>
      <c r="E98" s="31" t="s">
        <v>356</v>
      </c>
      <c r="F98" s="32">
        <v>200.0</v>
      </c>
      <c r="G98" s="15" t="s">
        <v>123</v>
      </c>
      <c r="H98" s="26" t="s">
        <v>352</v>
      </c>
      <c r="I98" s="33" t="s">
        <v>357</v>
      </c>
      <c r="J98" s="34">
        <v>5.0</v>
      </c>
    </row>
    <row r="99" ht="22.5" customHeight="1">
      <c r="A99" s="14">
        <v>46290.54598972222</v>
      </c>
      <c r="B99" s="35" t="s">
        <v>348</v>
      </c>
      <c r="C99" s="13" t="str">
        <f>IFERROR(__xludf.DUMMYFUNCTION("IF(B99="""","""",LOWER(REGEXREPLACE(B99,""[^A-Za-z0-9]"",""""))&amp;""-""&amp;TEXT(COUNTIF($B$2:B99,B99),""000""))"),"fooddrinklogos-003")</f>
        <v>fooddrinklogos-003</v>
      </c>
      <c r="D99" s="23" t="s">
        <v>359</v>
      </c>
      <c r="E99" s="24" t="s">
        <v>360</v>
      </c>
      <c r="F99" s="25">
        <v>300.0</v>
      </c>
      <c r="G99" s="15" t="s">
        <v>123</v>
      </c>
      <c r="H99" s="26" t="s">
        <v>352</v>
      </c>
      <c r="I99" s="27" t="s">
        <v>361</v>
      </c>
      <c r="J99" s="28">
        <v>5.0</v>
      </c>
    </row>
    <row r="100" ht="22.5" customHeight="1">
      <c r="A100" s="14">
        <v>46290.54598972222</v>
      </c>
      <c r="B100" s="29" t="s">
        <v>348</v>
      </c>
      <c r="C100" s="13" t="str">
        <f>IFERROR(__xludf.DUMMYFUNCTION("IF(B100="""","""",LOWER(REGEXREPLACE(B100,""[^A-Za-z0-9]"",""""))&amp;""-""&amp;TEXT(COUNTIF($B$2:B100,B100),""000""))"),"fooddrinklogos-004")</f>
        <v>fooddrinklogos-004</v>
      </c>
      <c r="D100" s="30" t="s">
        <v>363</v>
      </c>
      <c r="E100" s="31" t="s">
        <v>364</v>
      </c>
      <c r="F100" s="32">
        <v>400.0</v>
      </c>
      <c r="G100" s="15" t="s">
        <v>123</v>
      </c>
      <c r="H100" s="26" t="s">
        <v>352</v>
      </c>
      <c r="I100" s="33" t="s">
        <v>365</v>
      </c>
      <c r="J100" s="34">
        <v>5.0</v>
      </c>
    </row>
    <row r="101" ht="22.5" customHeight="1">
      <c r="A101" s="14">
        <v>46290.54598972222</v>
      </c>
      <c r="B101" s="35" t="s">
        <v>348</v>
      </c>
      <c r="C101" s="13" t="str">
        <f>IFERROR(__xludf.DUMMYFUNCTION("IF(B101="""","""",LOWER(REGEXREPLACE(B101,""[^A-Za-z0-9]"",""""))&amp;""-""&amp;TEXT(COUNTIF($B$2:B101,B101),""000""))"),"fooddrinklogos-005")</f>
        <v>fooddrinklogos-005</v>
      </c>
      <c r="D101" s="23" t="s">
        <v>367</v>
      </c>
      <c r="E101" s="24" t="s">
        <v>368</v>
      </c>
      <c r="F101" s="25">
        <v>500.0</v>
      </c>
      <c r="G101" s="15" t="s">
        <v>123</v>
      </c>
      <c r="H101" s="26" t="s">
        <v>352</v>
      </c>
      <c r="I101" s="27" t="s">
        <v>369</v>
      </c>
      <c r="J101" s="28">
        <v>5.0</v>
      </c>
    </row>
    <row r="102" ht="22.5" customHeight="1">
      <c r="A102" s="14">
        <v>46290.54598972222</v>
      </c>
      <c r="B102" s="29" t="s">
        <v>370</v>
      </c>
      <c r="C102" s="13" t="str">
        <f>IFERROR(__xludf.DUMMYFUNCTION("IF(B102="""","""",LOWER(REGEXREPLACE(B102,""[^A-Za-z0-9]"",""""))&amp;""-""&amp;TEXT(COUNTIF($B$2:B102,B102),""000""))"),"retailshoppinglogos-001")</f>
        <v>retailshoppinglogos-001</v>
      </c>
      <c r="D102" s="30" t="s">
        <v>372</v>
      </c>
      <c r="E102" s="31" t="s">
        <v>373</v>
      </c>
      <c r="F102" s="32">
        <v>100.0</v>
      </c>
      <c r="G102" s="15" t="s">
        <v>123</v>
      </c>
      <c r="H102" s="26" t="s">
        <v>352</v>
      </c>
      <c r="I102" s="33" t="s">
        <v>374</v>
      </c>
      <c r="J102" s="34">
        <v>5.0</v>
      </c>
    </row>
    <row r="103" ht="22.5" customHeight="1">
      <c r="A103" s="14">
        <v>46290.54598972222</v>
      </c>
      <c r="B103" s="35" t="s">
        <v>370</v>
      </c>
      <c r="C103" s="13" t="str">
        <f>IFERROR(__xludf.DUMMYFUNCTION("IF(B103="""","""",LOWER(REGEXREPLACE(B103,""[^A-Za-z0-9]"",""""))&amp;""-""&amp;TEXT(COUNTIF($B$2:B103,B103),""000""))"),"retailshoppinglogos-002")</f>
        <v>retailshoppinglogos-002</v>
      </c>
      <c r="D103" s="23" t="s">
        <v>376</v>
      </c>
      <c r="E103" s="24" t="s">
        <v>377</v>
      </c>
      <c r="F103" s="25">
        <v>200.0</v>
      </c>
      <c r="G103" s="15" t="s">
        <v>123</v>
      </c>
      <c r="H103" s="26" t="s">
        <v>352</v>
      </c>
      <c r="I103" s="27" t="s">
        <v>378</v>
      </c>
      <c r="J103" s="28">
        <v>5.0</v>
      </c>
    </row>
    <row r="104" ht="22.5" customHeight="1">
      <c r="A104" s="14">
        <v>46290.54598972222</v>
      </c>
      <c r="B104" s="29" t="s">
        <v>370</v>
      </c>
      <c r="C104" s="13" t="str">
        <f>IFERROR(__xludf.DUMMYFUNCTION("IF(B104="""","""",LOWER(REGEXREPLACE(B104,""[^A-Za-z0-9]"",""""))&amp;""-""&amp;TEXT(COUNTIF($B$2:B104,B104),""000""))"),"retailshoppinglogos-003")</f>
        <v>retailshoppinglogos-003</v>
      </c>
      <c r="D104" s="30" t="s">
        <v>380</v>
      </c>
      <c r="E104" s="31" t="s">
        <v>381</v>
      </c>
      <c r="F104" s="32">
        <v>300.0</v>
      </c>
      <c r="G104" s="15" t="s">
        <v>123</v>
      </c>
      <c r="H104" s="26" t="s">
        <v>352</v>
      </c>
      <c r="I104" s="33" t="s">
        <v>382</v>
      </c>
      <c r="J104" s="34">
        <v>5.0</v>
      </c>
    </row>
    <row r="105" ht="22.5" customHeight="1">
      <c r="A105" s="14">
        <v>46290.54598972222</v>
      </c>
      <c r="B105" s="35" t="s">
        <v>370</v>
      </c>
      <c r="C105" s="13" t="str">
        <f>IFERROR(__xludf.DUMMYFUNCTION("IF(B105="""","""",LOWER(REGEXREPLACE(B105,""[^A-Za-z0-9]"",""""))&amp;""-""&amp;TEXT(COUNTIF($B$2:B105,B105),""000""))"),"retailshoppinglogos-004")</f>
        <v>retailshoppinglogos-004</v>
      </c>
      <c r="D105" s="23" t="s">
        <v>384</v>
      </c>
      <c r="E105" s="24" t="s">
        <v>385</v>
      </c>
      <c r="F105" s="25">
        <v>400.0</v>
      </c>
      <c r="G105" s="15" t="s">
        <v>123</v>
      </c>
      <c r="H105" s="26" t="s">
        <v>352</v>
      </c>
      <c r="I105" s="27" t="s">
        <v>386</v>
      </c>
      <c r="J105" s="28">
        <v>5.0</v>
      </c>
    </row>
    <row r="106" ht="22.5" customHeight="1">
      <c r="A106" s="14">
        <v>46290.54598972222</v>
      </c>
      <c r="B106" s="29" t="s">
        <v>370</v>
      </c>
      <c r="C106" s="13" t="str">
        <f>IFERROR(__xludf.DUMMYFUNCTION("IF(B106="""","""",LOWER(REGEXREPLACE(B106,""[^A-Za-z0-9]"",""""))&amp;""-""&amp;TEXT(COUNTIF($B$2:B106,B106),""000""))"),"retailshoppinglogos-005")</f>
        <v>retailshoppinglogos-005</v>
      </c>
      <c r="D106" s="30" t="s">
        <v>388</v>
      </c>
      <c r="E106" s="31" t="s">
        <v>389</v>
      </c>
      <c r="F106" s="32">
        <v>500.0</v>
      </c>
      <c r="G106" s="15" t="s">
        <v>123</v>
      </c>
      <c r="H106" s="26" t="s">
        <v>352</v>
      </c>
      <c r="I106" s="33" t="s">
        <v>390</v>
      </c>
      <c r="J106" s="34">
        <v>5.0</v>
      </c>
    </row>
    <row r="107" ht="22.5" customHeight="1">
      <c r="A107" s="14">
        <v>46290.54598972222</v>
      </c>
      <c r="B107" s="35" t="s">
        <v>391</v>
      </c>
      <c r="C107" s="13" t="str">
        <f>IFERROR(__xludf.DUMMYFUNCTION("IF(B107="""","""",LOWER(REGEXREPLACE(B107,""[^A-Za-z0-9]"",""""))&amp;""-""&amp;TEXT(COUNTIF($B$2:B107,B107),""000""))"),"techappslogos-001")</f>
        <v>techappslogos-001</v>
      </c>
      <c r="D107" s="23" t="s">
        <v>393</v>
      </c>
      <c r="E107" s="24" t="s">
        <v>394</v>
      </c>
      <c r="F107" s="25">
        <v>100.0</v>
      </c>
      <c r="G107" s="15" t="s">
        <v>123</v>
      </c>
      <c r="H107" s="26" t="s">
        <v>352</v>
      </c>
      <c r="I107" s="27" t="s">
        <v>395</v>
      </c>
      <c r="J107" s="28">
        <v>5.0</v>
      </c>
    </row>
    <row r="108" ht="22.5" customHeight="1">
      <c r="A108" s="14">
        <v>46290.54598972222</v>
      </c>
      <c r="B108" s="29" t="s">
        <v>391</v>
      </c>
      <c r="C108" s="13" t="str">
        <f>IFERROR(__xludf.DUMMYFUNCTION("IF(B108="""","""",LOWER(REGEXREPLACE(B108,""[^A-Za-z0-9]"",""""))&amp;""-""&amp;TEXT(COUNTIF($B$2:B108,B108),""000""))"),"techappslogos-002")</f>
        <v>techappslogos-002</v>
      </c>
      <c r="D108" s="30" t="s">
        <v>397</v>
      </c>
      <c r="E108" s="31" t="s">
        <v>398</v>
      </c>
      <c r="F108" s="32">
        <v>200.0</v>
      </c>
      <c r="G108" s="15" t="s">
        <v>123</v>
      </c>
      <c r="H108" s="26" t="s">
        <v>352</v>
      </c>
      <c r="I108" s="33" t="s">
        <v>399</v>
      </c>
      <c r="J108" s="34">
        <v>5.0</v>
      </c>
    </row>
    <row r="109" ht="22.5" customHeight="1">
      <c r="A109" s="14">
        <v>46290.54598972222</v>
      </c>
      <c r="B109" s="35" t="s">
        <v>391</v>
      </c>
      <c r="C109" s="13" t="str">
        <f>IFERROR(__xludf.DUMMYFUNCTION("IF(B109="""","""",LOWER(REGEXREPLACE(B109,""[^A-Za-z0-9]"",""""))&amp;""-""&amp;TEXT(COUNTIF($B$2:B109,B109),""000""))"),"techappslogos-003")</f>
        <v>techappslogos-003</v>
      </c>
      <c r="D109" s="23" t="s">
        <v>401</v>
      </c>
      <c r="E109" s="23" t="s">
        <v>402</v>
      </c>
      <c r="F109" s="25">
        <v>300.0</v>
      </c>
      <c r="G109" s="15" t="s">
        <v>123</v>
      </c>
      <c r="H109" s="26" t="s">
        <v>352</v>
      </c>
      <c r="I109" s="27" t="s">
        <v>403</v>
      </c>
      <c r="J109" s="28">
        <v>5.0</v>
      </c>
    </row>
    <row r="110" ht="22.5" customHeight="1">
      <c r="A110" s="14">
        <v>46290.54598972222</v>
      </c>
      <c r="B110" s="29" t="s">
        <v>391</v>
      </c>
      <c r="C110" s="13" t="str">
        <f>IFERROR(__xludf.DUMMYFUNCTION("IF(B110="""","""",LOWER(REGEXREPLACE(B110,""[^A-Za-z0-9]"",""""))&amp;""-""&amp;TEXT(COUNTIF($B$2:B110,B110),""000""))"),"techappslogos-004")</f>
        <v>techappslogos-004</v>
      </c>
      <c r="D110" s="30" t="s">
        <v>405</v>
      </c>
      <c r="E110" s="31" t="s">
        <v>406</v>
      </c>
      <c r="F110" s="32">
        <v>400.0</v>
      </c>
      <c r="G110" s="15" t="s">
        <v>123</v>
      </c>
      <c r="H110" s="26" t="s">
        <v>352</v>
      </c>
      <c r="I110" s="33" t="s">
        <v>407</v>
      </c>
      <c r="J110" s="34">
        <v>5.0</v>
      </c>
    </row>
    <row r="111" ht="22.5" customHeight="1">
      <c r="A111" s="14">
        <v>46290.54598972222</v>
      </c>
      <c r="B111" s="35" t="s">
        <v>391</v>
      </c>
      <c r="C111" s="13" t="str">
        <f>IFERROR(__xludf.DUMMYFUNCTION("IF(B111="""","""",LOWER(REGEXREPLACE(B111,""[^A-Za-z0-9]"",""""))&amp;""-""&amp;TEXT(COUNTIF($B$2:B111,B111),""000""))"),"techappslogos-005")</f>
        <v>techappslogos-005</v>
      </c>
      <c r="D111" s="23" t="s">
        <v>409</v>
      </c>
      <c r="E111" s="23" t="s">
        <v>410</v>
      </c>
      <c r="F111" s="25">
        <v>500.0</v>
      </c>
      <c r="G111" s="15" t="s">
        <v>123</v>
      </c>
      <c r="H111" s="26" t="s">
        <v>352</v>
      </c>
      <c r="I111" s="27" t="s">
        <v>411</v>
      </c>
      <c r="J111" s="28">
        <v>5.0</v>
      </c>
    </row>
    <row r="112" ht="22.5" customHeight="1">
      <c r="A112" s="14">
        <v>46290.54598972222</v>
      </c>
      <c r="B112" s="29" t="s">
        <v>412</v>
      </c>
      <c r="C112" s="13" t="str">
        <f>IFERROR(__xludf.DUMMYFUNCTION("IF(B112="""","""",LOWER(REGEXREPLACE(B112,""[^A-Za-z0-9]"",""""))&amp;""-""&amp;TEXT(COUNTIF($B$2:B112,B112),""000""))"),"autotransportationlogos-001")</f>
        <v>autotransportationlogos-001</v>
      </c>
      <c r="D112" s="30" t="s">
        <v>414</v>
      </c>
      <c r="E112" s="31" t="s">
        <v>415</v>
      </c>
      <c r="F112" s="32">
        <v>100.0</v>
      </c>
      <c r="G112" s="15" t="s">
        <v>123</v>
      </c>
      <c r="H112" s="26" t="s">
        <v>352</v>
      </c>
      <c r="I112" s="33" t="s">
        <v>416</v>
      </c>
      <c r="J112" s="34">
        <v>5.0</v>
      </c>
    </row>
    <row r="113" ht="22.5" customHeight="1">
      <c r="A113" s="14">
        <v>46290.54598972222</v>
      </c>
      <c r="B113" s="35" t="s">
        <v>412</v>
      </c>
      <c r="C113" s="13" t="str">
        <f>IFERROR(__xludf.DUMMYFUNCTION("IF(B113="""","""",LOWER(REGEXREPLACE(B113,""[^A-Za-z0-9]"",""""))&amp;""-""&amp;TEXT(COUNTIF($B$2:B113,B113),""000""))"),"autotransportationlogos-002")</f>
        <v>autotransportationlogos-002</v>
      </c>
      <c r="D113" s="23" t="s">
        <v>418</v>
      </c>
      <c r="E113" s="24" t="s">
        <v>419</v>
      </c>
      <c r="F113" s="25">
        <v>200.0</v>
      </c>
      <c r="G113" s="15" t="s">
        <v>123</v>
      </c>
      <c r="H113" s="26" t="s">
        <v>352</v>
      </c>
      <c r="I113" s="27" t="s">
        <v>420</v>
      </c>
      <c r="J113" s="28">
        <v>5.0</v>
      </c>
    </row>
    <row r="114" ht="22.5" customHeight="1">
      <c r="A114" s="14">
        <v>46290.54598972222</v>
      </c>
      <c r="B114" s="29" t="s">
        <v>412</v>
      </c>
      <c r="C114" s="13" t="str">
        <f>IFERROR(__xludf.DUMMYFUNCTION("IF(B114="""","""",LOWER(REGEXREPLACE(B114,""[^A-Za-z0-9]"",""""))&amp;""-""&amp;TEXT(COUNTIF($B$2:B114,B114),""000""))"),"autotransportationlogos-003")</f>
        <v>autotransportationlogos-003</v>
      </c>
      <c r="D114" s="30" t="s">
        <v>422</v>
      </c>
      <c r="E114" s="31" t="s">
        <v>423</v>
      </c>
      <c r="F114" s="32">
        <v>300.0</v>
      </c>
      <c r="G114" s="15" t="s">
        <v>123</v>
      </c>
      <c r="H114" s="26" t="s">
        <v>352</v>
      </c>
      <c r="I114" s="33" t="s">
        <v>424</v>
      </c>
      <c r="J114" s="34">
        <v>5.0</v>
      </c>
    </row>
    <row r="115" ht="22.5" customHeight="1">
      <c r="A115" s="14">
        <v>46290.54598972222</v>
      </c>
      <c r="B115" s="35" t="s">
        <v>412</v>
      </c>
      <c r="C115" s="13" t="str">
        <f>IFERROR(__xludf.DUMMYFUNCTION("IF(B115="""","""",LOWER(REGEXREPLACE(B115,""[^A-Za-z0-9]"",""""))&amp;""-""&amp;TEXT(COUNTIF($B$2:B115,B115),""000""))"),"autotransportationlogos-004")</f>
        <v>autotransportationlogos-004</v>
      </c>
      <c r="D115" s="23" t="s">
        <v>426</v>
      </c>
      <c r="E115" s="24" t="s">
        <v>427</v>
      </c>
      <c r="F115" s="25">
        <v>400.0</v>
      </c>
      <c r="G115" s="15" t="s">
        <v>123</v>
      </c>
      <c r="H115" s="26" t="s">
        <v>352</v>
      </c>
      <c r="I115" s="27" t="s">
        <v>428</v>
      </c>
      <c r="J115" s="28">
        <v>5.0</v>
      </c>
    </row>
    <row r="116" ht="22.5" customHeight="1">
      <c r="A116" s="14">
        <v>46290.54598972222</v>
      </c>
      <c r="B116" s="29" t="s">
        <v>412</v>
      </c>
      <c r="C116" s="13" t="str">
        <f>IFERROR(__xludf.DUMMYFUNCTION("IF(B116="""","""",LOWER(REGEXREPLACE(B116,""[^A-Za-z0-9]"",""""))&amp;""-""&amp;TEXT(COUNTIF($B$2:B116,B116),""000""))"),"autotransportationlogos-005")</f>
        <v>autotransportationlogos-005</v>
      </c>
      <c r="D116" s="30" t="s">
        <v>430</v>
      </c>
      <c r="E116" s="31" t="s">
        <v>431</v>
      </c>
      <c r="F116" s="32">
        <v>500.0</v>
      </c>
      <c r="G116" s="15" t="s">
        <v>123</v>
      </c>
      <c r="H116" s="26" t="s">
        <v>352</v>
      </c>
      <c r="I116" s="33" t="s">
        <v>432</v>
      </c>
      <c r="J116" s="34">
        <v>5.0</v>
      </c>
    </row>
    <row r="117" ht="22.5" customHeight="1">
      <c r="A117" s="14">
        <v>46290.54598972222</v>
      </c>
      <c r="B117" s="35" t="s">
        <v>433</v>
      </c>
      <c r="C117" s="13" t="str">
        <f>IFERROR(__xludf.DUMMYFUNCTION("IF(B117="""","""",LOWER(REGEXREPLACE(B117,""[^A-Za-z0-9]"",""""))&amp;""-""&amp;TEXT(COUNTIF($B$2:B117,B117),""000""))"),"entertainmentmedialogos-001")</f>
        <v>entertainmentmedialogos-001</v>
      </c>
      <c r="D117" s="23" t="s">
        <v>435</v>
      </c>
      <c r="E117" s="36" t="s">
        <v>436</v>
      </c>
      <c r="F117" s="25">
        <v>100.0</v>
      </c>
      <c r="G117" s="15" t="s">
        <v>123</v>
      </c>
      <c r="H117" s="26" t="s">
        <v>352</v>
      </c>
      <c r="I117" s="27" t="s">
        <v>437</v>
      </c>
      <c r="J117" s="28">
        <v>5.0</v>
      </c>
    </row>
    <row r="118" ht="22.5" customHeight="1">
      <c r="A118" s="14">
        <v>46290.54598972222</v>
      </c>
      <c r="B118" s="29" t="s">
        <v>433</v>
      </c>
      <c r="C118" s="13" t="str">
        <f>IFERROR(__xludf.DUMMYFUNCTION("IF(B118="""","""",LOWER(REGEXREPLACE(B118,""[^A-Za-z0-9]"",""""))&amp;""-""&amp;TEXT(COUNTIF($B$2:B118,B118),""000""))"),"entertainmentmedialogos-002")</f>
        <v>entertainmentmedialogos-002</v>
      </c>
      <c r="D118" s="30" t="s">
        <v>439</v>
      </c>
      <c r="E118" s="31" t="s">
        <v>440</v>
      </c>
      <c r="F118" s="32">
        <v>200.0</v>
      </c>
      <c r="G118" s="15" t="s">
        <v>123</v>
      </c>
      <c r="H118" s="26" t="s">
        <v>352</v>
      </c>
      <c r="I118" s="33" t="s">
        <v>441</v>
      </c>
      <c r="J118" s="34">
        <v>5.0</v>
      </c>
    </row>
    <row r="119" ht="22.5" customHeight="1">
      <c r="A119" s="14">
        <v>46290.54598972222</v>
      </c>
      <c r="B119" s="35" t="s">
        <v>433</v>
      </c>
      <c r="C119" s="13" t="str">
        <f>IFERROR(__xludf.DUMMYFUNCTION("IF(B119="""","""",LOWER(REGEXREPLACE(B119,""[^A-Za-z0-9]"",""""))&amp;""-""&amp;TEXT(COUNTIF($B$2:B119,B119),""000""))"),"entertainmentmedialogos-003")</f>
        <v>entertainmentmedialogos-003</v>
      </c>
      <c r="D119" s="23" t="s">
        <v>443</v>
      </c>
      <c r="E119" s="24" t="s">
        <v>444</v>
      </c>
      <c r="F119" s="25">
        <v>300.0</v>
      </c>
      <c r="G119" s="15" t="s">
        <v>123</v>
      </c>
      <c r="H119" s="26" t="s">
        <v>352</v>
      </c>
      <c r="I119" s="27" t="s">
        <v>445</v>
      </c>
      <c r="J119" s="28">
        <v>5.0</v>
      </c>
    </row>
    <row r="120" ht="22.5" customHeight="1">
      <c r="A120" s="14">
        <v>46290.54598972222</v>
      </c>
      <c r="B120" s="29" t="s">
        <v>433</v>
      </c>
      <c r="C120" s="13" t="str">
        <f>IFERROR(__xludf.DUMMYFUNCTION("IF(B120="""","""",LOWER(REGEXREPLACE(B120,""[^A-Za-z0-9]"",""""))&amp;""-""&amp;TEXT(COUNTIF($B$2:B120,B120),""000""))"),"entertainmentmedialogos-004")</f>
        <v>entertainmentmedialogos-004</v>
      </c>
      <c r="D120" s="30" t="s">
        <v>447</v>
      </c>
      <c r="E120" s="31" t="s">
        <v>448</v>
      </c>
      <c r="F120" s="32">
        <v>400.0</v>
      </c>
      <c r="G120" s="15" t="s">
        <v>123</v>
      </c>
      <c r="H120" s="26" t="s">
        <v>352</v>
      </c>
      <c r="I120" s="33" t="s">
        <v>449</v>
      </c>
      <c r="J120" s="34">
        <v>5.0</v>
      </c>
    </row>
    <row r="121" ht="22.5" customHeight="1">
      <c r="A121" s="14">
        <v>46290.54598972222</v>
      </c>
      <c r="B121" s="37" t="s">
        <v>433</v>
      </c>
      <c r="C121" s="13" t="str">
        <f>IFERROR(__xludf.DUMMYFUNCTION("IF(B121="""","""",LOWER(REGEXREPLACE(B121,""[^A-Za-z0-9]"",""""))&amp;""-""&amp;TEXT(COUNTIF($B$2:B121,B121),""000""))"),"entertainmentmedialogos-005")</f>
        <v>entertainmentmedialogos-005</v>
      </c>
      <c r="D121" s="38" t="s">
        <v>451</v>
      </c>
      <c r="E121" s="39" t="s">
        <v>452</v>
      </c>
      <c r="F121" s="40">
        <v>500.0</v>
      </c>
      <c r="G121" s="15" t="s">
        <v>123</v>
      </c>
      <c r="H121" s="26" t="s">
        <v>352</v>
      </c>
      <c r="I121" s="41" t="s">
        <v>453</v>
      </c>
      <c r="J121" s="28">
        <v>5.0</v>
      </c>
    </row>
    <row r="122" ht="22.5" customHeight="1">
      <c r="A122" s="42">
        <v>46292.0</v>
      </c>
      <c r="B122" s="43" t="s">
        <v>454</v>
      </c>
      <c r="C122" s="13" t="str">
        <f>IFERROR(__xludf.DUMMYFUNCTION("IF(B122="""","""",LOWER(REGEXREPLACE(B122,""[^A-Za-z0-9]"",""""))&amp;""-""&amp;TEXT(COUNTIF($B$2:B122,B122),""000""))"),"singersongwriter-001")</f>
        <v>singersongwriter-001</v>
      </c>
      <c r="D122" s="23" t="s">
        <v>456</v>
      </c>
      <c r="E122" s="23" t="s">
        <v>457</v>
      </c>
      <c r="F122" s="44">
        <v>100.0</v>
      </c>
      <c r="G122" s="15" t="s">
        <v>123</v>
      </c>
      <c r="H122" s="26" t="s">
        <v>352</v>
      </c>
      <c r="I122" s="45" t="s">
        <v>458</v>
      </c>
      <c r="J122" s="28">
        <v>5.0</v>
      </c>
    </row>
    <row r="123" ht="22.5" customHeight="1">
      <c r="A123" s="42">
        <v>46292.0</v>
      </c>
      <c r="B123" s="46" t="s">
        <v>454</v>
      </c>
      <c r="C123" s="13" t="str">
        <f>IFERROR(__xludf.DUMMYFUNCTION("IF(B123="""","""",LOWER(REGEXREPLACE(B123,""[^A-Za-z0-9]"",""""))&amp;""-""&amp;TEXT(COUNTIF($B$2:B123,B123),""000""))"),"singersongwriter-002")</f>
        <v>singersongwriter-002</v>
      </c>
      <c r="D123" s="30" t="s">
        <v>460</v>
      </c>
      <c r="E123" s="30" t="s">
        <v>461</v>
      </c>
      <c r="F123" s="47">
        <v>200.0</v>
      </c>
      <c r="G123" s="15" t="s">
        <v>123</v>
      </c>
      <c r="H123" s="26" t="s">
        <v>352</v>
      </c>
      <c r="I123" s="48" t="s">
        <v>462</v>
      </c>
      <c r="J123" s="28">
        <v>5.0</v>
      </c>
    </row>
    <row r="124" ht="22.5" customHeight="1">
      <c r="A124" s="42">
        <v>46292.0</v>
      </c>
      <c r="B124" s="43" t="s">
        <v>454</v>
      </c>
      <c r="C124" s="13" t="str">
        <f>IFERROR(__xludf.DUMMYFUNCTION("IF(B124="""","""",LOWER(REGEXREPLACE(B124,""[^A-Za-z0-9]"",""""))&amp;""-""&amp;TEXT(COUNTIF($B$2:B124,B124),""000""))"),"singersongwriter-003")</f>
        <v>singersongwriter-003</v>
      </c>
      <c r="D124" s="23" t="s">
        <v>464</v>
      </c>
      <c r="E124" s="23" t="s">
        <v>465</v>
      </c>
      <c r="F124" s="44">
        <v>300.0</v>
      </c>
      <c r="G124" s="15" t="s">
        <v>123</v>
      </c>
      <c r="H124" s="26" t="s">
        <v>352</v>
      </c>
      <c r="I124" s="45" t="s">
        <v>466</v>
      </c>
      <c r="J124" s="28">
        <v>5.0</v>
      </c>
    </row>
    <row r="125" ht="22.5" customHeight="1">
      <c r="A125" s="42">
        <v>46292.0</v>
      </c>
      <c r="B125" s="46" t="s">
        <v>454</v>
      </c>
      <c r="C125" s="13" t="str">
        <f>IFERROR(__xludf.DUMMYFUNCTION("IF(B125="""","""",LOWER(REGEXREPLACE(B125,""[^A-Za-z0-9]"",""""))&amp;""-""&amp;TEXT(COUNTIF($B$2:B125,B125),""000""))"),"singersongwriter-004")</f>
        <v>singersongwriter-004</v>
      </c>
      <c r="D125" s="30" t="s">
        <v>468</v>
      </c>
      <c r="E125" s="30" t="s">
        <v>469</v>
      </c>
      <c r="F125" s="47">
        <v>400.0</v>
      </c>
      <c r="G125" s="15" t="s">
        <v>123</v>
      </c>
      <c r="H125" s="26" t="s">
        <v>352</v>
      </c>
      <c r="I125" s="48" t="s">
        <v>470</v>
      </c>
      <c r="J125" s="28">
        <v>5.0</v>
      </c>
    </row>
    <row r="126" ht="22.5" customHeight="1">
      <c r="A126" s="42">
        <v>46292.0</v>
      </c>
      <c r="B126" s="43" t="s">
        <v>454</v>
      </c>
      <c r="C126" s="13" t="str">
        <f>IFERROR(__xludf.DUMMYFUNCTION("IF(B126="""","""",LOWER(REGEXREPLACE(B126,""[^A-Za-z0-9]"",""""))&amp;""-""&amp;TEXT(COUNTIF($B$2:B126,B126),""000""))"),"singersongwriter-005")</f>
        <v>singersongwriter-005</v>
      </c>
      <c r="D126" s="23" t="s">
        <v>472</v>
      </c>
      <c r="E126" s="23" t="s">
        <v>473</v>
      </c>
      <c r="F126" s="44">
        <v>500.0</v>
      </c>
      <c r="G126" s="15" t="s">
        <v>123</v>
      </c>
      <c r="H126" s="26" t="s">
        <v>352</v>
      </c>
      <c r="I126" s="45" t="s">
        <v>474</v>
      </c>
      <c r="J126" s="28">
        <v>5.0</v>
      </c>
    </row>
    <row r="127" ht="22.5" customHeight="1">
      <c r="A127" s="42">
        <v>46292.0</v>
      </c>
      <c r="B127" s="46" t="s">
        <v>475</v>
      </c>
      <c r="C127" s="13" t="str">
        <f>IFERROR(__xludf.DUMMYFUNCTION("IF(B127="""","""",LOWER(REGEXREPLACE(B127,""[^A-Za-z0-9]"",""""))&amp;""-""&amp;TEXT(COUNTIF($B$2:B127,B127),""000""))"),"indierock-001")</f>
        <v>indierock-001</v>
      </c>
      <c r="D127" s="30" t="s">
        <v>477</v>
      </c>
      <c r="E127" s="30" t="s">
        <v>478</v>
      </c>
      <c r="F127" s="47">
        <v>100.0</v>
      </c>
      <c r="G127" s="15" t="s">
        <v>123</v>
      </c>
      <c r="H127" s="26" t="s">
        <v>352</v>
      </c>
      <c r="I127" s="48" t="s">
        <v>479</v>
      </c>
      <c r="J127" s="28">
        <v>5.0</v>
      </c>
    </row>
    <row r="128" ht="22.5" customHeight="1">
      <c r="A128" s="42">
        <v>46292.0</v>
      </c>
      <c r="B128" s="43" t="s">
        <v>475</v>
      </c>
      <c r="C128" s="13" t="str">
        <f>IFERROR(__xludf.DUMMYFUNCTION("IF(B128="""","""",LOWER(REGEXREPLACE(B128,""[^A-Za-z0-9]"",""""))&amp;""-""&amp;TEXT(COUNTIF($B$2:B128,B128),""000""))"),"indierock-002")</f>
        <v>indierock-002</v>
      </c>
      <c r="D128" s="23" t="s">
        <v>481</v>
      </c>
      <c r="E128" s="23" t="s">
        <v>482</v>
      </c>
      <c r="F128" s="44">
        <v>200.0</v>
      </c>
      <c r="G128" s="15" t="s">
        <v>123</v>
      </c>
      <c r="H128" s="26" t="s">
        <v>352</v>
      </c>
      <c r="I128" s="45" t="s">
        <v>483</v>
      </c>
      <c r="J128" s="28">
        <v>5.0</v>
      </c>
    </row>
    <row r="129" ht="22.5" customHeight="1">
      <c r="A129" s="42">
        <v>46292.0</v>
      </c>
      <c r="B129" s="46" t="s">
        <v>475</v>
      </c>
      <c r="C129" s="13" t="str">
        <f>IFERROR(__xludf.DUMMYFUNCTION("IF(B129="""","""",LOWER(REGEXREPLACE(B129,""[^A-Za-z0-9]"",""""))&amp;""-""&amp;TEXT(COUNTIF($B$2:B129,B129),""000""))"),"indierock-003")</f>
        <v>indierock-003</v>
      </c>
      <c r="D129" s="30" t="s">
        <v>485</v>
      </c>
      <c r="E129" s="30" t="s">
        <v>486</v>
      </c>
      <c r="F129" s="47">
        <v>300.0</v>
      </c>
      <c r="G129" s="15" t="s">
        <v>123</v>
      </c>
      <c r="H129" s="26" t="s">
        <v>352</v>
      </c>
      <c r="I129" s="48" t="s">
        <v>487</v>
      </c>
      <c r="J129" s="28">
        <v>5.0</v>
      </c>
    </row>
    <row r="130" ht="22.5" customHeight="1">
      <c r="A130" s="42">
        <v>46292.0</v>
      </c>
      <c r="B130" s="43" t="s">
        <v>475</v>
      </c>
      <c r="C130" s="13" t="str">
        <f>IFERROR(__xludf.DUMMYFUNCTION("IF(B130="""","""",LOWER(REGEXREPLACE(B130,""[^A-Za-z0-9]"",""""))&amp;""-""&amp;TEXT(COUNTIF($B$2:B130,B130),""000""))"),"indierock-004")</f>
        <v>indierock-004</v>
      </c>
      <c r="D130" s="23" t="s">
        <v>489</v>
      </c>
      <c r="E130" s="23" t="s">
        <v>490</v>
      </c>
      <c r="F130" s="44">
        <v>400.0</v>
      </c>
      <c r="G130" s="15" t="s">
        <v>123</v>
      </c>
      <c r="H130" s="26" t="s">
        <v>352</v>
      </c>
      <c r="I130" s="45" t="s">
        <v>491</v>
      </c>
      <c r="J130" s="28">
        <v>5.0</v>
      </c>
    </row>
    <row r="131" ht="22.5" customHeight="1">
      <c r="A131" s="42">
        <v>46292.0</v>
      </c>
      <c r="B131" s="46" t="s">
        <v>475</v>
      </c>
      <c r="C131" s="13" t="str">
        <f>IFERROR(__xludf.DUMMYFUNCTION("IF(B131="""","""",LOWER(REGEXREPLACE(B131,""[^A-Za-z0-9]"",""""))&amp;""-""&amp;TEXT(COUNTIF($B$2:B131,B131),""000""))"),"indierock-005")</f>
        <v>indierock-005</v>
      </c>
      <c r="D131" s="30" t="s">
        <v>493</v>
      </c>
      <c r="E131" s="49"/>
      <c r="F131" s="47">
        <v>500.0</v>
      </c>
      <c r="G131" s="15" t="s">
        <v>123</v>
      </c>
      <c r="H131" s="26" t="s">
        <v>352</v>
      </c>
      <c r="I131" s="48" t="s">
        <v>494</v>
      </c>
      <c r="J131" s="28">
        <v>5.0</v>
      </c>
    </row>
    <row r="132" ht="22.5" customHeight="1">
      <c r="A132" s="42">
        <v>46292.0</v>
      </c>
      <c r="B132" s="43" t="s">
        <v>495</v>
      </c>
      <c r="C132" s="13" t="str">
        <f>IFERROR(__xludf.DUMMYFUNCTION("IF(B132="""","""",LOWER(REGEXREPLACE(B132,""[^A-Za-z0-9]"",""""))&amp;""-""&amp;TEXT(COUNTIF($B$2:B132,B132),""000""))"),"indiepop-001")</f>
        <v>indiepop-001</v>
      </c>
      <c r="D132" s="23" t="s">
        <v>497</v>
      </c>
      <c r="E132" s="23" t="s">
        <v>498</v>
      </c>
      <c r="F132" s="44">
        <v>100.0</v>
      </c>
      <c r="G132" s="15" t="s">
        <v>123</v>
      </c>
      <c r="H132" s="26" t="s">
        <v>352</v>
      </c>
      <c r="I132" s="45" t="s">
        <v>499</v>
      </c>
      <c r="J132" s="28">
        <v>5.0</v>
      </c>
    </row>
    <row r="133" ht="22.5" customHeight="1">
      <c r="A133" s="42">
        <v>46292.0</v>
      </c>
      <c r="B133" s="46" t="s">
        <v>495</v>
      </c>
      <c r="C133" s="13" t="str">
        <f>IFERROR(__xludf.DUMMYFUNCTION("IF(B133="""","""",LOWER(REGEXREPLACE(B133,""[^A-Za-z0-9]"",""""))&amp;""-""&amp;TEXT(COUNTIF($B$2:B133,B133),""000""))"),"indiepop-002")</f>
        <v>indiepop-002</v>
      </c>
      <c r="D133" s="30" t="s">
        <v>501</v>
      </c>
      <c r="E133" s="30" t="s">
        <v>502</v>
      </c>
      <c r="F133" s="47">
        <v>200.0</v>
      </c>
      <c r="G133" s="15" t="s">
        <v>123</v>
      </c>
      <c r="H133" s="26" t="s">
        <v>352</v>
      </c>
      <c r="I133" s="48" t="s">
        <v>503</v>
      </c>
      <c r="J133" s="28">
        <v>5.0</v>
      </c>
    </row>
    <row r="134" ht="22.5" customHeight="1">
      <c r="A134" s="42">
        <v>46292.0</v>
      </c>
      <c r="B134" s="43" t="s">
        <v>495</v>
      </c>
      <c r="C134" s="13" t="str">
        <f>IFERROR(__xludf.DUMMYFUNCTION("IF(B134="""","""",LOWER(REGEXREPLACE(B134,""[^A-Za-z0-9]"",""""))&amp;""-""&amp;TEXT(COUNTIF($B$2:B134,B134),""000""))"),"indiepop-003")</f>
        <v>indiepop-003</v>
      </c>
      <c r="D134" s="23" t="s">
        <v>505</v>
      </c>
      <c r="E134" s="23" t="s">
        <v>506</v>
      </c>
      <c r="F134" s="44">
        <v>300.0</v>
      </c>
      <c r="G134" s="15" t="s">
        <v>123</v>
      </c>
      <c r="H134" s="26" t="s">
        <v>352</v>
      </c>
      <c r="I134" s="45" t="s">
        <v>507</v>
      </c>
      <c r="J134" s="28">
        <v>5.0</v>
      </c>
    </row>
    <row r="135" ht="22.5" customHeight="1">
      <c r="A135" s="42">
        <v>46292.0</v>
      </c>
      <c r="B135" s="46" t="s">
        <v>495</v>
      </c>
      <c r="C135" s="13" t="str">
        <f>IFERROR(__xludf.DUMMYFUNCTION("IF(B135="""","""",LOWER(REGEXREPLACE(B135,""[^A-Za-z0-9]"",""""))&amp;""-""&amp;TEXT(COUNTIF($B$2:B135,B135),""000""))"),"indiepop-004")</f>
        <v>indiepop-004</v>
      </c>
      <c r="D135" s="30" t="s">
        <v>509</v>
      </c>
      <c r="E135" s="30" t="s">
        <v>510</v>
      </c>
      <c r="F135" s="47">
        <v>400.0</v>
      </c>
      <c r="G135" s="15" t="s">
        <v>123</v>
      </c>
      <c r="H135" s="26" t="s">
        <v>352</v>
      </c>
      <c r="I135" s="48" t="s">
        <v>511</v>
      </c>
      <c r="J135" s="28">
        <v>5.0</v>
      </c>
    </row>
    <row r="136" ht="22.5" customHeight="1">
      <c r="A136" s="42">
        <v>46292.0</v>
      </c>
      <c r="B136" s="43" t="s">
        <v>495</v>
      </c>
      <c r="C136" s="13" t="str">
        <f>IFERROR(__xludf.DUMMYFUNCTION("IF(B136="""","""",LOWER(REGEXREPLACE(B136,""[^A-Za-z0-9]"",""""))&amp;""-""&amp;TEXT(COUNTIF($B$2:B136,B136),""000""))"),"indiepop-005")</f>
        <v>indiepop-005</v>
      </c>
      <c r="D136" s="23" t="s">
        <v>513</v>
      </c>
      <c r="E136" s="23" t="s">
        <v>514</v>
      </c>
      <c r="F136" s="44">
        <v>500.0</v>
      </c>
      <c r="G136" s="15" t="s">
        <v>123</v>
      </c>
      <c r="H136" s="26" t="s">
        <v>352</v>
      </c>
      <c r="I136" s="45" t="s">
        <v>515</v>
      </c>
      <c r="J136" s="28">
        <v>5.0</v>
      </c>
    </row>
    <row r="137" ht="22.5" customHeight="1">
      <c r="A137" s="42">
        <v>46292.0</v>
      </c>
      <c r="B137" s="46" t="s">
        <v>516</v>
      </c>
      <c r="C137" s="13" t="str">
        <f>IFERROR(__xludf.DUMMYFUNCTION("IF(B137="""","""",LOWER(REGEXREPLACE(B137,""[^A-Za-z0-9]"",""""))&amp;""-""&amp;TEXT(COUNTIF($B$2:B137,B137),""000""))"),"genrebenders-001")</f>
        <v>genrebenders-001</v>
      </c>
      <c r="D137" s="30" t="s">
        <v>518</v>
      </c>
      <c r="E137" s="30" t="s">
        <v>519</v>
      </c>
      <c r="F137" s="47">
        <v>100.0</v>
      </c>
      <c r="G137" s="15" t="s">
        <v>123</v>
      </c>
      <c r="H137" s="26" t="s">
        <v>352</v>
      </c>
      <c r="I137" s="48" t="s">
        <v>520</v>
      </c>
      <c r="J137" s="28">
        <v>5.0</v>
      </c>
    </row>
    <row r="138" ht="22.5" customHeight="1">
      <c r="A138" s="42">
        <v>46292.0</v>
      </c>
      <c r="B138" s="43" t="s">
        <v>516</v>
      </c>
      <c r="C138" s="13" t="str">
        <f>IFERROR(__xludf.DUMMYFUNCTION("IF(B138="""","""",LOWER(REGEXREPLACE(B138,""[^A-Za-z0-9]"",""""))&amp;""-""&amp;TEXT(COUNTIF($B$2:B138,B138),""000""))"),"genrebenders-002")</f>
        <v>genrebenders-002</v>
      </c>
      <c r="D138" s="23" t="s">
        <v>522</v>
      </c>
      <c r="E138" s="23" t="s">
        <v>523</v>
      </c>
      <c r="F138" s="44">
        <v>200.0</v>
      </c>
      <c r="G138" s="15" t="s">
        <v>123</v>
      </c>
      <c r="H138" s="26" t="s">
        <v>352</v>
      </c>
      <c r="I138" s="45" t="s">
        <v>524</v>
      </c>
      <c r="J138" s="28">
        <v>5.0</v>
      </c>
    </row>
    <row r="139" ht="22.5" customHeight="1">
      <c r="A139" s="42">
        <v>46292.0</v>
      </c>
      <c r="B139" s="46" t="s">
        <v>516</v>
      </c>
      <c r="C139" s="13" t="str">
        <f>IFERROR(__xludf.DUMMYFUNCTION("IF(B139="""","""",LOWER(REGEXREPLACE(B139,""[^A-Za-z0-9]"",""""))&amp;""-""&amp;TEXT(COUNTIF($B$2:B139,B139),""000""))"),"genrebenders-003")</f>
        <v>genrebenders-003</v>
      </c>
      <c r="D139" s="30" t="s">
        <v>526</v>
      </c>
      <c r="E139" s="30" t="s">
        <v>527</v>
      </c>
      <c r="F139" s="47">
        <v>300.0</v>
      </c>
      <c r="G139" s="15" t="s">
        <v>123</v>
      </c>
      <c r="H139" s="26" t="s">
        <v>352</v>
      </c>
      <c r="I139" s="48" t="s">
        <v>528</v>
      </c>
      <c r="J139" s="28">
        <v>5.0</v>
      </c>
    </row>
    <row r="140" ht="22.5" customHeight="1">
      <c r="A140" s="42">
        <v>46292.0</v>
      </c>
      <c r="B140" s="43" t="s">
        <v>516</v>
      </c>
      <c r="C140" s="13" t="str">
        <f>IFERROR(__xludf.DUMMYFUNCTION("IF(B140="""","""",LOWER(REGEXREPLACE(B140,""[^A-Za-z0-9]"",""""))&amp;""-""&amp;TEXT(COUNTIF($B$2:B140,B140),""000""))"),"genrebenders-004")</f>
        <v>genrebenders-004</v>
      </c>
      <c r="D140" s="23" t="s">
        <v>530</v>
      </c>
      <c r="E140" s="23" t="s">
        <v>531</v>
      </c>
      <c r="F140" s="44">
        <v>400.0</v>
      </c>
      <c r="G140" s="15" t="s">
        <v>123</v>
      </c>
      <c r="H140" s="26" t="s">
        <v>352</v>
      </c>
      <c r="I140" s="45" t="s">
        <v>532</v>
      </c>
      <c r="J140" s="28">
        <v>5.0</v>
      </c>
    </row>
    <row r="141" ht="22.5" customHeight="1">
      <c r="A141" s="42">
        <v>46292.0</v>
      </c>
      <c r="B141" s="46" t="s">
        <v>516</v>
      </c>
      <c r="C141" s="13" t="str">
        <f>IFERROR(__xludf.DUMMYFUNCTION("IF(B141="""","""",LOWER(REGEXREPLACE(B141,""[^A-Za-z0-9]"",""""))&amp;""-""&amp;TEXT(COUNTIF($B$2:B141,B141),""000""))"),"genrebenders-005")</f>
        <v>genrebenders-005</v>
      </c>
      <c r="D141" s="30" t="s">
        <v>534</v>
      </c>
      <c r="E141" s="49"/>
      <c r="F141" s="47">
        <v>500.0</v>
      </c>
      <c r="G141" s="15" t="s">
        <v>123</v>
      </c>
      <c r="H141" s="50"/>
      <c r="I141" s="48" t="s">
        <v>535</v>
      </c>
      <c r="J141" s="28">
        <v>5.0</v>
      </c>
    </row>
    <row r="142" ht="22.5" customHeight="1">
      <c r="A142" s="42">
        <v>46292.0</v>
      </c>
      <c r="B142" s="43" t="s">
        <v>536</v>
      </c>
      <c r="C142" s="13" t="str">
        <f>IFERROR(__xludf.DUMMYFUNCTION("IF(B142="""","""",LOWER(REGEXREPLACE(B142,""[^A-Za-z0-9]"",""""))&amp;""-""&amp;TEXT(COUNTIF($B$2:B142,B142),""000""))"),"colorado303-001")</f>
        <v>colorado303-001</v>
      </c>
      <c r="D142" s="23" t="s">
        <v>538</v>
      </c>
      <c r="E142" s="23" t="s">
        <v>539</v>
      </c>
      <c r="F142" s="44">
        <v>100.0</v>
      </c>
      <c r="G142" s="15" t="s">
        <v>123</v>
      </c>
      <c r="H142" s="51" t="s">
        <v>540</v>
      </c>
      <c r="I142" s="45" t="s">
        <v>541</v>
      </c>
      <c r="J142" s="28">
        <v>5.0</v>
      </c>
    </row>
    <row r="143" ht="22.5" customHeight="1">
      <c r="A143" s="42">
        <v>46292.0</v>
      </c>
      <c r="B143" s="46" t="s">
        <v>536</v>
      </c>
      <c r="C143" s="13" t="str">
        <f>IFERROR(__xludf.DUMMYFUNCTION("IF(B143="""","""",LOWER(REGEXREPLACE(B143,""[^A-Za-z0-9]"",""""))&amp;""-""&amp;TEXT(COUNTIF($B$2:B143,B143),""000""))"),"colorado303-002")</f>
        <v>colorado303-002</v>
      </c>
      <c r="D143" s="30" t="s">
        <v>543</v>
      </c>
      <c r="E143" s="30" t="s">
        <v>539</v>
      </c>
      <c r="F143" s="47">
        <v>200.0</v>
      </c>
      <c r="G143" s="15" t="s">
        <v>123</v>
      </c>
      <c r="H143" s="51" t="s">
        <v>540</v>
      </c>
      <c r="I143" s="48" t="s">
        <v>544</v>
      </c>
      <c r="J143" s="28">
        <v>5.0</v>
      </c>
    </row>
    <row r="144" ht="22.5" customHeight="1">
      <c r="A144" s="42">
        <v>46292.0</v>
      </c>
      <c r="B144" s="43" t="s">
        <v>536</v>
      </c>
      <c r="C144" s="13" t="str">
        <f>IFERROR(__xludf.DUMMYFUNCTION("IF(B144="""","""",LOWER(REGEXREPLACE(B144,""[^A-Za-z0-9]"",""""))&amp;""-""&amp;TEXT(COUNTIF($B$2:B144,B144),""000""))"),"colorado303-003")</f>
        <v>colorado303-003</v>
      </c>
      <c r="D144" s="23" t="s">
        <v>546</v>
      </c>
      <c r="E144" s="23" t="s">
        <v>547</v>
      </c>
      <c r="F144" s="44">
        <v>300.0</v>
      </c>
      <c r="G144" s="15" t="s">
        <v>123</v>
      </c>
      <c r="H144" s="51" t="s">
        <v>540</v>
      </c>
      <c r="I144" s="45" t="s">
        <v>548</v>
      </c>
      <c r="J144" s="28">
        <v>5.0</v>
      </c>
    </row>
    <row r="145" ht="22.5" customHeight="1">
      <c r="A145" s="42">
        <v>46292.0</v>
      </c>
      <c r="B145" s="46" t="s">
        <v>536</v>
      </c>
      <c r="C145" s="13" t="str">
        <f>IFERROR(__xludf.DUMMYFUNCTION("IF(B145="""","""",LOWER(REGEXREPLACE(B145,""[^A-Za-z0-9]"",""""))&amp;""-""&amp;TEXT(COUNTIF($B$2:B145,B145),""000""))"),"colorado303-004")</f>
        <v>colorado303-004</v>
      </c>
      <c r="D145" s="30" t="s">
        <v>550</v>
      </c>
      <c r="E145" s="30" t="s">
        <v>547</v>
      </c>
      <c r="F145" s="47">
        <v>400.0</v>
      </c>
      <c r="G145" s="15" t="s">
        <v>123</v>
      </c>
      <c r="H145" s="51" t="s">
        <v>540</v>
      </c>
      <c r="I145" s="48" t="s">
        <v>551</v>
      </c>
      <c r="J145" s="28">
        <v>5.0</v>
      </c>
    </row>
    <row r="146" ht="22.5" customHeight="1">
      <c r="A146" s="42">
        <v>46292.0</v>
      </c>
      <c r="B146" s="52" t="s">
        <v>536</v>
      </c>
      <c r="C146" s="13" t="str">
        <f>IFERROR(__xludf.DUMMYFUNCTION("IF(B146="""","""",LOWER(REGEXREPLACE(B146,""[^A-Za-z0-9]"",""""))&amp;""-""&amp;TEXT(COUNTIF($B$2:B146,B146),""000""))"),"colorado303-005")</f>
        <v>colorado303-005</v>
      </c>
      <c r="D146" s="38" t="s">
        <v>553</v>
      </c>
      <c r="E146" s="38" t="s">
        <v>547</v>
      </c>
      <c r="F146" s="53">
        <v>500.0</v>
      </c>
      <c r="G146" s="15" t="s">
        <v>123</v>
      </c>
      <c r="H146" s="51" t="s">
        <v>540</v>
      </c>
      <c r="I146" s="54" t="s">
        <v>554</v>
      </c>
      <c r="J146" s="28">
        <v>5.0</v>
      </c>
    </row>
    <row r="147" ht="22.5" customHeight="1">
      <c r="A147" s="42">
        <v>46292.0</v>
      </c>
      <c r="B147" s="43" t="s">
        <v>555</v>
      </c>
      <c r="C147" s="13" t="str">
        <f>IFERROR(__xludf.DUMMYFUNCTION("IF(B147="""","""",LOWER(REGEXREPLACE(B147,""[^A-Za-z0-9]"",""""))&amp;""-""&amp;TEXT(COUNTIF($B$2:B147,B147),""000""))"),"punkarchaeology-001")</f>
        <v>punkarchaeology-001</v>
      </c>
      <c r="D147" s="23" t="s">
        <v>557</v>
      </c>
      <c r="E147" s="23" t="s">
        <v>558</v>
      </c>
      <c r="F147" s="44">
        <v>300.0</v>
      </c>
      <c r="G147" s="15" t="s">
        <v>123</v>
      </c>
      <c r="H147" s="55"/>
      <c r="I147" s="27" t="s">
        <v>559</v>
      </c>
      <c r="J147" s="28">
        <v>5.0</v>
      </c>
    </row>
    <row r="148" ht="22.5" customHeight="1">
      <c r="A148" s="42">
        <v>46292.0</v>
      </c>
      <c r="B148" s="46" t="s">
        <v>555</v>
      </c>
      <c r="C148" s="13" t="str">
        <f>IFERROR(__xludf.DUMMYFUNCTION("IF(B148="""","""",LOWER(REGEXREPLACE(B148,""[^A-Za-z0-9]"",""""))&amp;""-""&amp;TEXT(COUNTIF($B$2:B148,B148),""000""))"),"punkarchaeology-002")</f>
        <v>punkarchaeology-002</v>
      </c>
      <c r="D148" s="30" t="s">
        <v>561</v>
      </c>
      <c r="E148" s="30" t="s">
        <v>562</v>
      </c>
      <c r="F148" s="47">
        <v>300.0</v>
      </c>
      <c r="G148" s="15" t="s">
        <v>123</v>
      </c>
      <c r="H148" s="55"/>
      <c r="I148" s="33" t="s">
        <v>559</v>
      </c>
      <c r="J148" s="28">
        <v>5.0</v>
      </c>
    </row>
    <row r="149" ht="22.5" customHeight="1">
      <c r="A149" s="42">
        <v>46292.0</v>
      </c>
      <c r="B149" s="43" t="s">
        <v>555</v>
      </c>
      <c r="C149" s="13" t="str">
        <f>IFERROR(__xludf.DUMMYFUNCTION("IF(B149="""","""",LOWER(REGEXREPLACE(B149,""[^A-Za-z0-9]"",""""))&amp;""-""&amp;TEXT(COUNTIF($B$2:B149,B149),""000""))"),"punkarchaeology-003")</f>
        <v>punkarchaeology-003</v>
      </c>
      <c r="D149" s="23" t="s">
        <v>564</v>
      </c>
      <c r="E149" s="23" t="s">
        <v>565</v>
      </c>
      <c r="F149" s="44">
        <v>500.0</v>
      </c>
      <c r="G149" s="15" t="s">
        <v>123</v>
      </c>
      <c r="H149" s="55"/>
      <c r="I149" s="27" t="s">
        <v>566</v>
      </c>
      <c r="J149" s="28">
        <v>5.0</v>
      </c>
    </row>
    <row r="150" ht="22.5" customHeight="1">
      <c r="A150" s="42">
        <v>46292.0</v>
      </c>
      <c r="B150" s="46" t="s">
        <v>555</v>
      </c>
      <c r="C150" s="13" t="str">
        <f>IFERROR(__xludf.DUMMYFUNCTION("IF(B150="""","""",LOWER(REGEXREPLACE(B150,""[^A-Za-z0-9]"",""""))&amp;""-""&amp;TEXT(COUNTIF($B$2:B150,B150),""000""))"),"punkarchaeology-004")</f>
        <v>punkarchaeology-004</v>
      </c>
      <c r="D150" s="30" t="s">
        <v>568</v>
      </c>
      <c r="E150" s="30" t="s">
        <v>569</v>
      </c>
      <c r="F150" s="47">
        <v>200.0</v>
      </c>
      <c r="G150" s="15" t="s">
        <v>123</v>
      </c>
      <c r="H150" s="55"/>
      <c r="I150" s="33" t="s">
        <v>570</v>
      </c>
      <c r="J150" s="28">
        <v>5.0</v>
      </c>
    </row>
    <row r="151" ht="22.5" customHeight="1">
      <c r="A151" s="42">
        <v>46292.0</v>
      </c>
      <c r="B151" s="43" t="s">
        <v>555</v>
      </c>
      <c r="C151" s="13" t="str">
        <f>IFERROR(__xludf.DUMMYFUNCTION("IF(B151="""","""",LOWER(REGEXREPLACE(B151,""[^A-Za-z0-9]"",""""))&amp;""-""&amp;TEXT(COUNTIF($B$2:B151,B151),""000""))"),"punkarchaeology-005")</f>
        <v>punkarchaeology-005</v>
      </c>
      <c r="D151" s="23" t="s">
        <v>572</v>
      </c>
      <c r="E151" s="23" t="s">
        <v>565</v>
      </c>
      <c r="F151" s="44">
        <v>400.0</v>
      </c>
      <c r="G151" s="15" t="s">
        <v>123</v>
      </c>
      <c r="H151" s="55"/>
      <c r="I151" s="27" t="s">
        <v>573</v>
      </c>
      <c r="J151" s="28">
        <v>5.0</v>
      </c>
    </row>
    <row r="152" ht="22.5" customHeight="1">
      <c r="A152" s="42">
        <v>46292.0</v>
      </c>
      <c r="B152" s="46" t="s">
        <v>574</v>
      </c>
      <c r="C152" s="13" t="str">
        <f>IFERROR(__xludf.DUMMYFUNCTION("IF(B152="""","""",LOWER(REGEXREPLACE(B152,""[^A-Za-z0-9]"",""""))&amp;""-""&amp;TEXT(COUNTIF($B$2:B152,B152),""000""))"),"indietimemachine-001")</f>
        <v>indietimemachine-001</v>
      </c>
      <c r="D152" s="30" t="s">
        <v>576</v>
      </c>
      <c r="E152" s="30" t="s">
        <v>577</v>
      </c>
      <c r="F152" s="47">
        <v>200.0</v>
      </c>
      <c r="G152" s="15" t="s">
        <v>123</v>
      </c>
      <c r="H152" s="55"/>
      <c r="I152" s="33" t="s">
        <v>578</v>
      </c>
      <c r="J152" s="28">
        <v>5.0</v>
      </c>
    </row>
    <row r="153" ht="22.5" customHeight="1">
      <c r="A153" s="42">
        <v>46292.0</v>
      </c>
      <c r="B153" s="43" t="s">
        <v>574</v>
      </c>
      <c r="C153" s="13" t="str">
        <f>IFERROR(__xludf.DUMMYFUNCTION("IF(B153="""","""",LOWER(REGEXREPLACE(B153,""[^A-Za-z0-9]"",""""))&amp;""-""&amp;TEXT(COUNTIF($B$2:B153,B153),""000""))"),"indietimemachine-002")</f>
        <v>indietimemachine-002</v>
      </c>
      <c r="D153" s="23" t="s">
        <v>580</v>
      </c>
      <c r="E153" s="23" t="s">
        <v>581</v>
      </c>
      <c r="F153" s="44">
        <v>500.0</v>
      </c>
      <c r="G153" s="15" t="s">
        <v>123</v>
      </c>
      <c r="H153" s="55"/>
      <c r="I153" s="27" t="s">
        <v>566</v>
      </c>
      <c r="J153" s="28">
        <v>5.0</v>
      </c>
    </row>
    <row r="154" ht="22.5" customHeight="1">
      <c r="A154" s="42">
        <v>46292.0</v>
      </c>
      <c r="B154" s="46" t="s">
        <v>574</v>
      </c>
      <c r="C154" s="13" t="str">
        <f>IFERROR(__xludf.DUMMYFUNCTION("IF(B154="""","""",LOWER(REGEXREPLACE(B154,""[^A-Za-z0-9]"",""""))&amp;""-""&amp;TEXT(COUNTIF($B$2:B154,B154),""000""))"),"indietimemachine-003")</f>
        <v>indietimemachine-003</v>
      </c>
      <c r="D154" s="30" t="s">
        <v>583</v>
      </c>
      <c r="E154" s="30" t="s">
        <v>581</v>
      </c>
      <c r="F154" s="47">
        <v>300.0</v>
      </c>
      <c r="G154" s="15" t="s">
        <v>123</v>
      </c>
      <c r="H154" s="55"/>
      <c r="I154" s="33" t="s">
        <v>584</v>
      </c>
      <c r="J154" s="28">
        <v>5.0</v>
      </c>
    </row>
    <row r="155" ht="22.5" customHeight="1">
      <c r="A155" s="42">
        <v>46292.0</v>
      </c>
      <c r="B155" s="43" t="s">
        <v>574</v>
      </c>
      <c r="C155" s="13" t="str">
        <f>IFERROR(__xludf.DUMMYFUNCTION("IF(B155="""","""",LOWER(REGEXREPLACE(B155,""[^A-Za-z0-9]"",""""))&amp;""-""&amp;TEXT(COUNTIF($B$2:B155,B155),""000""))"),"indietimemachine-004")</f>
        <v>indietimemachine-004</v>
      </c>
      <c r="D155" s="23" t="s">
        <v>586</v>
      </c>
      <c r="E155" s="23" t="s">
        <v>587</v>
      </c>
      <c r="F155" s="44">
        <v>400.0</v>
      </c>
      <c r="G155" s="15" t="s">
        <v>123</v>
      </c>
      <c r="H155" s="55"/>
      <c r="I155" s="27" t="s">
        <v>588</v>
      </c>
      <c r="J155" s="28">
        <v>5.0</v>
      </c>
    </row>
    <row r="156" ht="22.5" customHeight="1">
      <c r="A156" s="42">
        <v>46292.0</v>
      </c>
      <c r="B156" s="46" t="s">
        <v>574</v>
      </c>
      <c r="C156" s="13" t="str">
        <f>IFERROR(__xludf.DUMMYFUNCTION("IF(B156="""","""",LOWER(REGEXREPLACE(B156,""[^A-Za-z0-9]"",""""))&amp;""-""&amp;TEXT(COUNTIF($B$2:B156,B156),""000""))"),"indietimemachine-005")</f>
        <v>indietimemachine-005</v>
      </c>
      <c r="D156" s="30" t="s">
        <v>590</v>
      </c>
      <c r="E156" s="30" t="s">
        <v>591</v>
      </c>
      <c r="F156" s="47">
        <v>500.0</v>
      </c>
      <c r="G156" s="15" t="s">
        <v>123</v>
      </c>
      <c r="H156" s="55"/>
      <c r="I156" s="33" t="s">
        <v>592</v>
      </c>
      <c r="J156" s="28">
        <v>5.0</v>
      </c>
    </row>
    <row r="157" ht="22.5" customHeight="1">
      <c r="A157" s="42">
        <v>46292.0</v>
      </c>
      <c r="B157" s="43" t="s">
        <v>593</v>
      </c>
      <c r="C157" s="13" t="str">
        <f>IFERROR(__xludf.DUMMYFUNCTION("IF(B157="""","""",LOWER(REGEXREPLACE(B157,""[^A-Za-z0-9]"",""""))&amp;""-""&amp;TEXT(COUNTIF($B$2:B157,B157),""000""))"),"beyondthealgorithm-001")</f>
        <v>beyondthealgorithm-001</v>
      </c>
      <c r="D157" s="23" t="s">
        <v>595</v>
      </c>
      <c r="E157" s="23" t="s">
        <v>581</v>
      </c>
      <c r="F157" s="44">
        <v>200.0</v>
      </c>
      <c r="G157" s="15" t="s">
        <v>123</v>
      </c>
      <c r="H157" s="55"/>
      <c r="I157" s="27" t="s">
        <v>596</v>
      </c>
      <c r="J157" s="28">
        <v>5.0</v>
      </c>
    </row>
    <row r="158" ht="22.5" customHeight="1">
      <c r="A158" s="42">
        <v>46292.0</v>
      </c>
      <c r="B158" s="46" t="s">
        <v>593</v>
      </c>
      <c r="C158" s="13" t="str">
        <f>IFERROR(__xludf.DUMMYFUNCTION("IF(B158="""","""",LOWER(REGEXREPLACE(B158,""[^A-Za-z0-9]"",""""))&amp;""-""&amp;TEXT(COUNTIF($B$2:B158,B158),""000""))"),"beyondthealgorithm-002")</f>
        <v>beyondthealgorithm-002</v>
      </c>
      <c r="D158" s="30" t="s">
        <v>598</v>
      </c>
      <c r="E158" s="30" t="s">
        <v>581</v>
      </c>
      <c r="F158" s="47">
        <v>300.0</v>
      </c>
      <c r="G158" s="15" t="s">
        <v>123</v>
      </c>
      <c r="H158" s="55"/>
      <c r="I158" s="33" t="s">
        <v>599</v>
      </c>
      <c r="J158" s="28">
        <v>5.0</v>
      </c>
    </row>
    <row r="159" ht="22.5" customHeight="1">
      <c r="A159" s="42">
        <v>46292.0</v>
      </c>
      <c r="B159" s="43" t="s">
        <v>593</v>
      </c>
      <c r="C159" s="13" t="str">
        <f>IFERROR(__xludf.DUMMYFUNCTION("IF(B159="""","""",LOWER(REGEXREPLACE(B159,""[^A-Za-z0-9]"",""""))&amp;""-""&amp;TEXT(COUNTIF($B$2:B159,B159),""000""))"),"beyondthealgorithm-003")</f>
        <v>beyondthealgorithm-003</v>
      </c>
      <c r="D159" s="23" t="s">
        <v>601</v>
      </c>
      <c r="E159" s="23" t="s">
        <v>602</v>
      </c>
      <c r="F159" s="44">
        <v>500.0</v>
      </c>
      <c r="G159" s="15" t="s">
        <v>123</v>
      </c>
      <c r="H159" s="55"/>
      <c r="I159" s="27" t="s">
        <v>566</v>
      </c>
      <c r="J159" s="28">
        <v>5.0</v>
      </c>
    </row>
    <row r="160" ht="22.5" customHeight="1">
      <c r="A160" s="42">
        <v>46292.0</v>
      </c>
      <c r="B160" s="46" t="s">
        <v>593</v>
      </c>
      <c r="C160" s="13" t="str">
        <f>IFERROR(__xludf.DUMMYFUNCTION("IF(B160="""","""",LOWER(REGEXREPLACE(B160,""[^A-Za-z0-9]"",""""))&amp;""-""&amp;TEXT(COUNTIF($B$2:B160,B160),""000""))"),"beyondthealgorithm-004")</f>
        <v>beyondthealgorithm-004</v>
      </c>
      <c r="D160" s="30" t="s">
        <v>604</v>
      </c>
      <c r="E160" s="30" t="s">
        <v>581</v>
      </c>
      <c r="F160" s="47">
        <v>400.0</v>
      </c>
      <c r="G160" s="15" t="s">
        <v>123</v>
      </c>
      <c r="H160" s="55"/>
      <c r="I160" s="33" t="s">
        <v>605</v>
      </c>
      <c r="J160" s="28">
        <v>5.0</v>
      </c>
    </row>
    <row r="161" ht="22.5" customHeight="1">
      <c r="A161" s="42">
        <v>46292.0</v>
      </c>
      <c r="B161" s="43" t="s">
        <v>593</v>
      </c>
      <c r="C161" s="13" t="str">
        <f>IFERROR(__xludf.DUMMYFUNCTION("IF(B161="""","""",LOWER(REGEXREPLACE(B161,""[^A-Za-z0-9]"",""""))&amp;""-""&amp;TEXT(COUNTIF($B$2:B161,B161),""000""))"),"beyondthealgorithm-005")</f>
        <v>beyondthealgorithm-005</v>
      </c>
      <c r="D161" s="23" t="s">
        <v>607</v>
      </c>
      <c r="E161" s="23" t="s">
        <v>608</v>
      </c>
      <c r="F161" s="44">
        <v>100.0</v>
      </c>
      <c r="G161" s="15" t="s">
        <v>123</v>
      </c>
      <c r="H161" s="55"/>
      <c r="I161" s="27" t="s">
        <v>609</v>
      </c>
      <c r="J161" s="28">
        <v>5.0</v>
      </c>
    </row>
    <row r="162" ht="22.5" customHeight="1">
      <c r="A162" s="42">
        <v>46292.0</v>
      </c>
      <c r="B162" s="46" t="s">
        <v>610</v>
      </c>
      <c r="C162" s="13" t="str">
        <f>IFERROR(__xludf.DUMMYFUNCTION("IF(B162="""","""",LOWER(REGEXREPLACE(B162,""[^A-Za-z0-9]"",""""))&amp;""-""&amp;TEXT(COUNTIF($B$2:B162,B162),""000""))"),"indiecred-001")</f>
        <v>indiecred-001</v>
      </c>
      <c r="D162" s="30" t="s">
        <v>612</v>
      </c>
      <c r="E162" s="30" t="s">
        <v>613</v>
      </c>
      <c r="F162" s="47">
        <v>100.0</v>
      </c>
      <c r="G162" s="15" t="s">
        <v>123</v>
      </c>
      <c r="H162" s="55"/>
      <c r="I162" s="33" t="s">
        <v>614</v>
      </c>
      <c r="J162" s="28">
        <v>5.0</v>
      </c>
    </row>
    <row r="163" ht="22.5" customHeight="1">
      <c r="A163" s="42">
        <v>46292.0</v>
      </c>
      <c r="B163" s="43" t="s">
        <v>610</v>
      </c>
      <c r="C163" s="13" t="str">
        <f>IFERROR(__xludf.DUMMYFUNCTION("IF(B163="""","""",LOWER(REGEXREPLACE(B163,""[^A-Za-z0-9]"",""""))&amp;""-""&amp;TEXT(COUNTIF($B$2:B163,B163),""000""))"),"indiecred-002")</f>
        <v>indiecred-002</v>
      </c>
      <c r="D163" s="23" t="s">
        <v>616</v>
      </c>
      <c r="E163" s="23" t="s">
        <v>565</v>
      </c>
      <c r="F163" s="44">
        <v>400.0</v>
      </c>
      <c r="G163" s="15" t="s">
        <v>123</v>
      </c>
      <c r="H163" s="55"/>
      <c r="I163" s="27" t="s">
        <v>617</v>
      </c>
      <c r="J163" s="28">
        <v>5.0</v>
      </c>
    </row>
    <row r="164" ht="22.5" customHeight="1">
      <c r="A164" s="42">
        <v>46292.0</v>
      </c>
      <c r="B164" s="46" t="s">
        <v>610</v>
      </c>
      <c r="C164" s="13" t="str">
        <f>IFERROR(__xludf.DUMMYFUNCTION("IF(B164="""","""",LOWER(REGEXREPLACE(B164,""[^A-Za-z0-9]"",""""))&amp;""-""&amp;TEXT(COUNTIF($B$2:B164,B164),""000""))"),"indiecred-003")</f>
        <v>indiecred-003</v>
      </c>
      <c r="D164" s="30" t="s">
        <v>619</v>
      </c>
      <c r="E164" s="30" t="s">
        <v>620</v>
      </c>
      <c r="F164" s="47">
        <v>300.0</v>
      </c>
      <c r="G164" s="15" t="s">
        <v>123</v>
      </c>
      <c r="H164" s="55"/>
      <c r="I164" s="33" t="s">
        <v>621</v>
      </c>
      <c r="J164" s="28">
        <v>5.0</v>
      </c>
    </row>
    <row r="165" ht="22.5" customHeight="1">
      <c r="A165" s="42">
        <v>46292.0</v>
      </c>
      <c r="B165" s="43" t="s">
        <v>610</v>
      </c>
      <c r="C165" s="13" t="str">
        <f>IFERROR(__xludf.DUMMYFUNCTION("IF(B165="""","""",LOWER(REGEXREPLACE(B165,""[^A-Za-z0-9]"",""""))&amp;""-""&amp;TEXT(COUNTIF($B$2:B165,B165),""000""))"),"indiecred-004")</f>
        <v>indiecred-004</v>
      </c>
      <c r="D165" s="23" t="s">
        <v>623</v>
      </c>
      <c r="E165" s="23" t="s">
        <v>624</v>
      </c>
      <c r="F165" s="44">
        <v>500.0</v>
      </c>
      <c r="G165" s="15" t="s">
        <v>123</v>
      </c>
      <c r="H165" s="55"/>
      <c r="I165" s="27" t="s">
        <v>566</v>
      </c>
      <c r="J165" s="28">
        <v>5.0</v>
      </c>
    </row>
    <row r="166" ht="22.5" customHeight="1">
      <c r="A166" s="42">
        <v>46292.0</v>
      </c>
      <c r="B166" s="46" t="s">
        <v>610</v>
      </c>
      <c r="C166" s="13" t="str">
        <f>IFERROR(__xludf.DUMMYFUNCTION("IF(B166="""","""",LOWER(REGEXREPLACE(B166,""[^A-Za-z0-9]"",""""))&amp;""-""&amp;TEXT(COUNTIF($B$2:B166,B166),""000""))"),"indiecred-005")</f>
        <v>indiecred-005</v>
      </c>
      <c r="D166" s="30" t="s">
        <v>626</v>
      </c>
      <c r="E166" s="30" t="s">
        <v>627</v>
      </c>
      <c r="F166" s="47">
        <v>200.0</v>
      </c>
      <c r="G166" s="15" t="s">
        <v>123</v>
      </c>
      <c r="H166" s="55"/>
      <c r="I166" s="33" t="s">
        <v>628</v>
      </c>
      <c r="J166" s="28">
        <v>5.0</v>
      </c>
    </row>
    <row r="167" ht="22.5" customHeight="1">
      <c r="A167" s="42">
        <v>46292.0</v>
      </c>
      <c r="B167" s="43" t="s">
        <v>629</v>
      </c>
      <c r="C167" s="13" t="str">
        <f>IFERROR(__xludf.DUMMYFUNCTION("IF(B167="""","""",LOWER(REGEXREPLACE(B167,""[^A-Za-z0-9]"",""""))&amp;""-""&amp;TEXT(COUNTIF($B$2:B167,B167),""000""))"),"coloradodeepcuts-001")</f>
        <v>coloradodeepcuts-001</v>
      </c>
      <c r="D167" s="23" t="s">
        <v>631</v>
      </c>
      <c r="E167" s="23" t="s">
        <v>581</v>
      </c>
      <c r="F167" s="44">
        <v>400.0</v>
      </c>
      <c r="G167" s="15" t="s">
        <v>123</v>
      </c>
      <c r="H167" s="55"/>
      <c r="I167" s="27" t="s">
        <v>632</v>
      </c>
      <c r="J167" s="28">
        <v>5.0</v>
      </c>
    </row>
    <row r="168" ht="22.5" customHeight="1">
      <c r="A168" s="42">
        <v>46292.0</v>
      </c>
      <c r="B168" s="46" t="s">
        <v>629</v>
      </c>
      <c r="C168" s="13" t="str">
        <f>IFERROR(__xludf.DUMMYFUNCTION("IF(B168="""","""",LOWER(REGEXREPLACE(B168,""[^A-Za-z0-9]"",""""))&amp;""-""&amp;TEXT(COUNTIF($B$2:B168,B168),""000""))"),"coloradodeepcuts-002")</f>
        <v>coloradodeepcuts-002</v>
      </c>
      <c r="D168" s="30" t="s">
        <v>634</v>
      </c>
      <c r="E168" s="30" t="s">
        <v>635</v>
      </c>
      <c r="F168" s="47">
        <v>100.0</v>
      </c>
      <c r="G168" s="15" t="s">
        <v>123</v>
      </c>
      <c r="H168" s="55"/>
      <c r="I168" s="33" t="s">
        <v>636</v>
      </c>
      <c r="J168" s="28">
        <v>5.0</v>
      </c>
    </row>
    <row r="169" ht="22.5" customHeight="1">
      <c r="A169" s="42">
        <v>46292.0</v>
      </c>
      <c r="B169" s="43" t="s">
        <v>629</v>
      </c>
      <c r="C169" s="13" t="str">
        <f>IFERROR(__xludf.DUMMYFUNCTION("IF(B169="""","""",LOWER(REGEXREPLACE(B169,""[^A-Za-z0-9]"",""""))&amp;""-""&amp;TEXT(COUNTIF($B$2:B169,B169),""000""))"),"coloradodeepcuts-003")</f>
        <v>coloradodeepcuts-003</v>
      </c>
      <c r="D169" s="23" t="s">
        <v>638</v>
      </c>
      <c r="E169" s="23" t="s">
        <v>639</v>
      </c>
      <c r="F169" s="44">
        <v>500.0</v>
      </c>
      <c r="G169" s="15" t="s">
        <v>123</v>
      </c>
      <c r="H169" s="55"/>
      <c r="I169" s="27" t="s">
        <v>640</v>
      </c>
      <c r="J169" s="28">
        <v>5.0</v>
      </c>
    </row>
    <row r="170" ht="22.5" customHeight="1">
      <c r="A170" s="42">
        <v>46292.0</v>
      </c>
      <c r="B170" s="46" t="s">
        <v>629</v>
      </c>
      <c r="C170" s="13" t="str">
        <f>IFERROR(__xludf.DUMMYFUNCTION("IF(B170="""","""",LOWER(REGEXREPLACE(B170,""[^A-Za-z0-9]"",""""))&amp;""-""&amp;TEXT(COUNTIF($B$2:B170,B170),""000""))"),"coloradodeepcuts-004")</f>
        <v>coloradodeepcuts-004</v>
      </c>
      <c r="D170" s="30" t="s">
        <v>642</v>
      </c>
      <c r="E170" s="30" t="s">
        <v>565</v>
      </c>
      <c r="F170" s="47">
        <v>300.0</v>
      </c>
      <c r="G170" s="15" t="s">
        <v>123</v>
      </c>
      <c r="H170" s="55"/>
      <c r="I170" s="33" t="s">
        <v>632</v>
      </c>
      <c r="J170" s="28">
        <v>5.0</v>
      </c>
    </row>
    <row r="171" ht="22.5" customHeight="1">
      <c r="A171" s="42">
        <v>46292.0</v>
      </c>
      <c r="B171" s="52" t="s">
        <v>629</v>
      </c>
      <c r="C171" s="13" t="str">
        <f>IFERROR(__xludf.DUMMYFUNCTION("IF(B171="""","""",LOWER(REGEXREPLACE(B171,""[^A-Za-z0-9]"",""""))&amp;""-""&amp;TEXT(COUNTIF($B$2:B171,B171),""000""))"),"coloradodeepcuts-005")</f>
        <v>coloradodeepcuts-005</v>
      </c>
      <c r="D171" s="38" t="s">
        <v>644</v>
      </c>
      <c r="E171" s="38" t="s">
        <v>620</v>
      </c>
      <c r="F171" s="53">
        <v>200.0</v>
      </c>
      <c r="G171" s="15" t="s">
        <v>123</v>
      </c>
      <c r="H171" s="55"/>
      <c r="I171" s="41" t="s">
        <v>645</v>
      </c>
      <c r="J171" s="28">
        <v>5.0</v>
      </c>
    </row>
    <row r="172" ht="22.5" customHeight="1">
      <c r="A172" s="9"/>
      <c r="B172" s="56"/>
      <c r="C172" s="13" t="str">
        <f>IFERROR(__xludf.DUMMYFUNCTION("IF(B172="""","""",LOWER(REGEXREPLACE(B172,""[^A-Za-z0-9]"",""""))&amp;""-""&amp;TEXT(COUNTIF($B$2:B172,B172),""000""))"),"")</f>
        <v/>
      </c>
      <c r="D172" s="57"/>
      <c r="E172" s="58"/>
      <c r="F172" s="59"/>
      <c r="G172" s="10"/>
      <c r="H172" s="55"/>
      <c r="I172" s="28"/>
      <c r="J172" s="28" t="s">
        <v>646</v>
      </c>
    </row>
    <row r="173" ht="22.5" customHeight="1">
      <c r="A173" s="9"/>
      <c r="B173" s="56"/>
      <c r="C173" s="13" t="str">
        <f>IFERROR(__xludf.DUMMYFUNCTION("IF(B173="""","""",LOWER(REGEXREPLACE(B173,""[^A-Za-z0-9]"",""""))&amp;""-""&amp;TEXT(COUNTIF($B$2:B173,B173),""000""))"),"")</f>
        <v/>
      </c>
      <c r="D173" s="57"/>
      <c r="E173" s="58"/>
      <c r="F173" s="59"/>
      <c r="G173" s="10"/>
      <c r="H173" s="55"/>
      <c r="I173" s="28"/>
      <c r="J173" s="28" t="s">
        <v>646</v>
      </c>
    </row>
    <row r="174" ht="22.5" customHeight="1">
      <c r="A174" s="9"/>
      <c r="B174" s="56"/>
      <c r="C174" s="13" t="str">
        <f>IFERROR(__xludf.DUMMYFUNCTION("IF(B174="""","""",LOWER(REGEXREPLACE(B174,""[^A-Za-z0-9]"",""""))&amp;""-""&amp;TEXT(COUNTIF($B$2:B174,B174),""000""))"),"")</f>
        <v/>
      </c>
      <c r="D174" s="57"/>
      <c r="E174" s="58"/>
      <c r="F174" s="59"/>
      <c r="G174" s="10"/>
      <c r="H174" s="55"/>
      <c r="I174" s="28"/>
      <c r="J174" s="28" t="s">
        <v>646</v>
      </c>
    </row>
    <row r="175" ht="22.5" customHeight="1">
      <c r="A175" s="9"/>
      <c r="B175" s="56"/>
      <c r="C175" s="13" t="str">
        <f>IFERROR(__xludf.DUMMYFUNCTION("IF(B175="""","""",LOWER(REGEXREPLACE(B175,""[^A-Za-z0-9]"",""""))&amp;""-""&amp;TEXT(COUNTIF($B$2:B175,B175),""000""))"),"")</f>
        <v/>
      </c>
      <c r="D175" s="57"/>
      <c r="E175" s="58"/>
      <c r="F175" s="59"/>
      <c r="G175" s="10"/>
      <c r="H175" s="55"/>
      <c r="I175" s="28"/>
      <c r="J175" s="28" t="s">
        <v>646</v>
      </c>
    </row>
    <row r="176" ht="22.5" customHeight="1">
      <c r="A176" s="9"/>
      <c r="B176" s="56"/>
      <c r="C176" s="13" t="str">
        <f>IFERROR(__xludf.DUMMYFUNCTION("IF(B176="""","""",LOWER(REGEXREPLACE(B176,""[^A-Za-z0-9]"",""""))&amp;""-""&amp;TEXT(COUNTIF($B$2:B176,B176),""000""))"),"")</f>
        <v/>
      </c>
      <c r="D176" s="57"/>
      <c r="E176" s="58"/>
      <c r="F176" s="59"/>
      <c r="G176" s="10"/>
      <c r="H176" s="55"/>
      <c r="I176" s="28"/>
      <c r="J176" s="28" t="s">
        <v>646</v>
      </c>
    </row>
    <row r="177" ht="22.5" customHeight="1">
      <c r="A177" s="9"/>
      <c r="B177" s="56"/>
      <c r="C177" s="13" t="str">
        <f>IFERROR(__xludf.DUMMYFUNCTION("IF(B177="""","""",LOWER(REGEXREPLACE(B177,""[^A-Za-z0-9]"",""""))&amp;""-""&amp;TEXT(COUNTIF($B$2:B177,B177),""000""))"),"")</f>
        <v/>
      </c>
      <c r="D177" s="57"/>
      <c r="E177" s="58"/>
      <c r="F177" s="59"/>
      <c r="G177" s="10"/>
      <c r="H177" s="55"/>
      <c r="I177" s="28"/>
      <c r="J177" s="28" t="s">
        <v>646</v>
      </c>
    </row>
    <row r="178" ht="22.5" customHeight="1">
      <c r="A178" s="9"/>
      <c r="B178" s="56"/>
      <c r="C178" s="13" t="str">
        <f>IFERROR(__xludf.DUMMYFUNCTION("IF(B178="""","""",LOWER(REGEXREPLACE(B178,""[^A-Za-z0-9]"",""""))&amp;""-""&amp;TEXT(COUNTIF($B$2:B178,B178),""000""))"),"")</f>
        <v/>
      </c>
      <c r="D178" s="57"/>
      <c r="E178" s="58"/>
      <c r="F178" s="59"/>
      <c r="G178" s="10"/>
      <c r="H178" s="55"/>
      <c r="I178" s="28"/>
      <c r="J178" s="28" t="s">
        <v>646</v>
      </c>
    </row>
    <row r="179" ht="22.5" customHeight="1">
      <c r="A179" s="9"/>
      <c r="B179" s="56"/>
      <c r="C179" s="13" t="str">
        <f>IFERROR(__xludf.DUMMYFUNCTION("IF(B179="""","""",LOWER(REGEXREPLACE(B179,""[^A-Za-z0-9]"",""""))&amp;""-""&amp;TEXT(COUNTIF($B$2:B179,B179),""000""))"),"")</f>
        <v/>
      </c>
      <c r="D179" s="57"/>
      <c r="E179" s="58"/>
      <c r="F179" s="59"/>
      <c r="G179" s="10"/>
      <c r="H179" s="55"/>
      <c r="I179" s="28"/>
      <c r="J179" s="28" t="s">
        <v>646</v>
      </c>
    </row>
    <row r="180" ht="22.5" customHeight="1">
      <c r="A180" s="9"/>
      <c r="B180" s="56"/>
      <c r="C180" s="13" t="str">
        <f>IFERROR(__xludf.DUMMYFUNCTION("IF(B180="""","""",LOWER(REGEXREPLACE(B180,""[^A-Za-z0-9]"",""""))&amp;""-""&amp;TEXT(COUNTIF($B$2:B180,B180),""000""))"),"")</f>
        <v/>
      </c>
      <c r="D180" s="57"/>
      <c r="E180" s="58"/>
      <c r="F180" s="59"/>
      <c r="G180" s="10"/>
      <c r="H180" s="55"/>
      <c r="I180" s="28"/>
      <c r="J180" s="28" t="s">
        <v>646</v>
      </c>
    </row>
    <row r="181" ht="22.5" customHeight="1">
      <c r="A181" s="9"/>
      <c r="B181" s="56"/>
      <c r="C181" s="13" t="str">
        <f>IFERROR(__xludf.DUMMYFUNCTION("IF(B181="""","""",LOWER(REGEXREPLACE(B181,""[^A-Za-z0-9]"",""""))&amp;""-""&amp;TEXT(COUNTIF($B$2:B181,B181),""000""))"),"")</f>
        <v/>
      </c>
      <c r="D181" s="57"/>
      <c r="E181" s="58"/>
      <c r="F181" s="59"/>
      <c r="G181" s="10"/>
      <c r="H181" s="55"/>
      <c r="I181" s="28"/>
      <c r="J181" s="28" t="s">
        <v>646</v>
      </c>
    </row>
    <row r="182" ht="22.5" customHeight="1">
      <c r="A182" s="9"/>
      <c r="B182" s="56"/>
      <c r="C182" s="13" t="str">
        <f>IFERROR(__xludf.DUMMYFUNCTION("IF(B182="""","""",LOWER(REGEXREPLACE(B182,""[^A-Za-z0-9]"",""""))&amp;""-""&amp;TEXT(COUNTIF($B$2:B182,B182),""000""))"),"")</f>
        <v/>
      </c>
      <c r="D182" s="57"/>
      <c r="E182" s="58"/>
      <c r="F182" s="59"/>
      <c r="G182" s="10"/>
      <c r="H182" s="55"/>
      <c r="I182" s="28"/>
      <c r="J182" s="28" t="s">
        <v>646</v>
      </c>
    </row>
    <row r="183" ht="22.5" customHeight="1">
      <c r="A183" s="9"/>
      <c r="B183" s="56"/>
      <c r="C183" s="13" t="str">
        <f>IFERROR(__xludf.DUMMYFUNCTION("IF(B183="""","""",LOWER(REGEXREPLACE(B183,""[^A-Za-z0-9]"",""""))&amp;""-""&amp;TEXT(COUNTIF($B$2:B183,B183),""000""))"),"")</f>
        <v/>
      </c>
      <c r="D183" s="57"/>
      <c r="E183" s="58"/>
      <c r="F183" s="59"/>
      <c r="G183" s="10"/>
      <c r="H183" s="55"/>
      <c r="I183" s="28"/>
      <c r="J183" s="28" t="s">
        <v>646</v>
      </c>
    </row>
    <row r="184" ht="22.5" customHeight="1">
      <c r="A184" s="9"/>
      <c r="B184" s="56"/>
      <c r="C184" s="13" t="str">
        <f>IFERROR(__xludf.DUMMYFUNCTION("IF(B184="""","""",LOWER(REGEXREPLACE(B184,""[^A-Za-z0-9]"",""""))&amp;""-""&amp;TEXT(COUNTIF($B$2:B184,B184),""000""))"),"")</f>
        <v/>
      </c>
      <c r="D184" s="57"/>
      <c r="E184" s="58"/>
      <c r="F184" s="59"/>
      <c r="G184" s="10"/>
      <c r="H184" s="55"/>
      <c r="I184" s="28"/>
      <c r="J184" s="28" t="s">
        <v>646</v>
      </c>
    </row>
    <row r="185" ht="22.5" customHeight="1">
      <c r="A185" s="9"/>
      <c r="B185" s="56"/>
      <c r="C185" s="13" t="str">
        <f>IFERROR(__xludf.DUMMYFUNCTION("IF(B185="""","""",LOWER(REGEXREPLACE(B185,""[^A-Za-z0-9]"",""""))&amp;""-""&amp;TEXT(COUNTIF($B$2:B185,B185),""000""))"),"")</f>
        <v/>
      </c>
      <c r="D185" s="57"/>
      <c r="E185" s="58"/>
      <c r="F185" s="59"/>
      <c r="G185" s="10"/>
      <c r="H185" s="55"/>
      <c r="I185" s="28"/>
      <c r="J185" s="28" t="s">
        <v>646</v>
      </c>
    </row>
    <row r="186" ht="22.5" customHeight="1">
      <c r="A186" s="9"/>
      <c r="B186" s="56"/>
      <c r="C186" s="13" t="str">
        <f>IFERROR(__xludf.DUMMYFUNCTION("IF(B186="""","""",LOWER(REGEXREPLACE(B186,""[^A-Za-z0-9]"",""""))&amp;""-""&amp;TEXT(COUNTIF($B$2:B186,B186),""000""))"),"")</f>
        <v/>
      </c>
      <c r="D186" s="57"/>
      <c r="E186" s="58"/>
      <c r="F186" s="59"/>
      <c r="G186" s="10"/>
      <c r="H186" s="55"/>
      <c r="I186" s="28"/>
      <c r="J186" s="28" t="s">
        <v>646</v>
      </c>
    </row>
    <row r="187" ht="22.5" customHeight="1">
      <c r="A187" s="9"/>
      <c r="B187" s="56"/>
      <c r="C187" s="13" t="str">
        <f>IFERROR(__xludf.DUMMYFUNCTION("IF(B187="""","""",LOWER(REGEXREPLACE(B187,""[^A-Za-z0-9]"",""""))&amp;""-""&amp;TEXT(COUNTIF($B$2:B187,B187),""000""))"),"")</f>
        <v/>
      </c>
      <c r="D187" s="57"/>
      <c r="E187" s="58"/>
      <c r="F187" s="59"/>
      <c r="G187" s="10"/>
      <c r="H187" s="55"/>
      <c r="I187" s="28"/>
      <c r="J187" s="28" t="s">
        <v>646</v>
      </c>
    </row>
    <row r="188" ht="22.5" customHeight="1">
      <c r="A188" s="9"/>
      <c r="B188" s="56"/>
      <c r="C188" s="13" t="str">
        <f>IFERROR(__xludf.DUMMYFUNCTION("IF(B188="""","""",LOWER(REGEXREPLACE(B188,""[^A-Za-z0-9]"",""""))&amp;""-""&amp;TEXT(COUNTIF($B$2:B188,B188),""000""))"),"")</f>
        <v/>
      </c>
      <c r="D188" s="57"/>
      <c r="E188" s="58"/>
      <c r="F188" s="59"/>
      <c r="G188" s="10"/>
      <c r="H188" s="55"/>
      <c r="I188" s="28"/>
      <c r="J188" s="28" t="s">
        <v>646</v>
      </c>
    </row>
    <row r="189" ht="22.5" customHeight="1">
      <c r="A189" s="9"/>
      <c r="B189" s="56"/>
      <c r="C189" s="13" t="str">
        <f>IFERROR(__xludf.DUMMYFUNCTION("IF(B189="""","""",LOWER(REGEXREPLACE(B189,""[^A-Za-z0-9]"",""""))&amp;""-""&amp;TEXT(COUNTIF($B$2:B189,B189),""000""))"),"")</f>
        <v/>
      </c>
      <c r="D189" s="57"/>
      <c r="E189" s="58"/>
      <c r="F189" s="59"/>
      <c r="G189" s="10"/>
      <c r="H189" s="55"/>
      <c r="I189" s="28"/>
      <c r="J189" s="28" t="s">
        <v>646</v>
      </c>
    </row>
    <row r="190" ht="22.5" customHeight="1">
      <c r="A190" s="9"/>
      <c r="B190" s="56"/>
      <c r="C190" s="13" t="str">
        <f>IFERROR(__xludf.DUMMYFUNCTION("IF(B190="""","""",LOWER(REGEXREPLACE(B190,""[^A-Za-z0-9]"",""""))&amp;""-""&amp;TEXT(COUNTIF($B$2:B190,B190),""000""))"),"")</f>
        <v/>
      </c>
      <c r="D190" s="57"/>
      <c r="E190" s="58"/>
      <c r="F190" s="59"/>
      <c r="G190" s="10"/>
      <c r="H190" s="55"/>
      <c r="I190" s="28"/>
      <c r="J190" s="28" t="s">
        <v>646</v>
      </c>
    </row>
    <row r="191" ht="22.5" customHeight="1">
      <c r="A191" s="9"/>
      <c r="B191" s="56"/>
      <c r="C191" s="13" t="str">
        <f>IFERROR(__xludf.DUMMYFUNCTION("IF(B191="""","""",LOWER(REGEXREPLACE(B191,""[^A-Za-z0-9]"",""""))&amp;""-""&amp;TEXT(COUNTIF($B$2:B191,B191),""000""))"),"")</f>
        <v/>
      </c>
      <c r="D191" s="57"/>
      <c r="E191" s="58"/>
      <c r="F191" s="59"/>
      <c r="G191" s="10"/>
      <c r="H191" s="55"/>
      <c r="I191" s="28"/>
      <c r="J191" s="28" t="s">
        <v>646</v>
      </c>
    </row>
    <row r="192" ht="22.5" customHeight="1">
      <c r="A192" s="9"/>
      <c r="B192" s="56"/>
      <c r="C192" s="13" t="str">
        <f>IFERROR(__xludf.DUMMYFUNCTION("IF(B192="""","""",LOWER(REGEXREPLACE(B192,""[^A-Za-z0-9]"",""""))&amp;""-""&amp;TEXT(COUNTIF($B$2:B192,B192),""000""))"),"")</f>
        <v/>
      </c>
      <c r="D192" s="57"/>
      <c r="E192" s="58"/>
      <c r="F192" s="59"/>
      <c r="G192" s="10"/>
      <c r="H192" s="55"/>
      <c r="I192" s="28"/>
      <c r="J192" s="28" t="s">
        <v>646</v>
      </c>
    </row>
    <row r="193" ht="22.5" customHeight="1">
      <c r="A193" s="9"/>
      <c r="B193" s="56"/>
      <c r="C193" s="13" t="str">
        <f>IFERROR(__xludf.DUMMYFUNCTION("IF(B193="""","""",LOWER(REGEXREPLACE(B193,""[^A-Za-z0-9]"",""""))&amp;""-""&amp;TEXT(COUNTIF($B$2:B193,B193),""000""))"),"")</f>
        <v/>
      </c>
      <c r="D193" s="57"/>
      <c r="E193" s="58"/>
      <c r="F193" s="59"/>
      <c r="G193" s="10"/>
      <c r="H193" s="55"/>
      <c r="I193" s="28"/>
      <c r="J193" s="28" t="s">
        <v>646</v>
      </c>
    </row>
    <row r="194" ht="22.5" customHeight="1">
      <c r="A194" s="9"/>
      <c r="B194" s="56"/>
      <c r="C194" s="13" t="str">
        <f>IFERROR(__xludf.DUMMYFUNCTION("IF(B194="""","""",LOWER(REGEXREPLACE(B194,""[^A-Za-z0-9]"",""""))&amp;""-""&amp;TEXT(COUNTIF($B$2:B194,B194),""000""))"),"")</f>
        <v/>
      </c>
      <c r="D194" s="57"/>
      <c r="E194" s="58"/>
      <c r="F194" s="59"/>
      <c r="G194" s="10"/>
      <c r="H194" s="55"/>
      <c r="I194" s="28"/>
      <c r="J194" s="28" t="s">
        <v>646</v>
      </c>
    </row>
    <row r="195" ht="22.5" customHeight="1">
      <c r="A195" s="9"/>
      <c r="B195" s="56"/>
      <c r="C195" s="13" t="str">
        <f>IFERROR(__xludf.DUMMYFUNCTION("IF(B195="""","""",LOWER(REGEXREPLACE(B195,""[^A-Za-z0-9]"",""""))&amp;""-""&amp;TEXT(COUNTIF($B$2:B195,B195),""000""))"),"")</f>
        <v/>
      </c>
      <c r="D195" s="57"/>
      <c r="E195" s="58"/>
      <c r="F195" s="59"/>
      <c r="G195" s="10"/>
      <c r="H195" s="55"/>
      <c r="I195" s="28"/>
      <c r="J195" s="28" t="s">
        <v>646</v>
      </c>
    </row>
    <row r="196" ht="22.5" customHeight="1">
      <c r="A196" s="9"/>
      <c r="B196" s="56"/>
      <c r="C196" s="13" t="str">
        <f>IFERROR(__xludf.DUMMYFUNCTION("IF(B196="""","""",LOWER(REGEXREPLACE(B196,""[^A-Za-z0-9]"",""""))&amp;""-""&amp;TEXT(COUNTIF($B$2:B196,B196),""000""))"),"")</f>
        <v/>
      </c>
      <c r="D196" s="57"/>
      <c r="E196" s="58"/>
      <c r="F196" s="59"/>
      <c r="G196" s="10"/>
      <c r="H196" s="55"/>
      <c r="I196" s="28"/>
      <c r="J196" s="28" t="s">
        <v>646</v>
      </c>
    </row>
    <row r="197" ht="22.5" customHeight="1">
      <c r="A197" s="9"/>
      <c r="B197" s="56"/>
      <c r="C197" s="13" t="str">
        <f>IFERROR(__xludf.DUMMYFUNCTION("IF(B197="""","""",LOWER(REGEXREPLACE(B197,""[^A-Za-z0-9]"",""""))&amp;""-""&amp;TEXT(COUNTIF($B$2:B197,B197),""000""))"),"")</f>
        <v/>
      </c>
      <c r="D197" s="57"/>
      <c r="E197" s="58"/>
      <c r="F197" s="59"/>
      <c r="G197" s="10"/>
      <c r="H197" s="55"/>
      <c r="I197" s="28"/>
      <c r="J197" s="28" t="s">
        <v>646</v>
      </c>
    </row>
    <row r="198" ht="22.5" customHeight="1">
      <c r="A198" s="9"/>
      <c r="B198" s="56"/>
      <c r="C198" s="13" t="str">
        <f>IFERROR(__xludf.DUMMYFUNCTION("IF(B198="""","""",LOWER(REGEXREPLACE(B198,""[^A-Za-z0-9]"",""""))&amp;""-""&amp;TEXT(COUNTIF($B$2:B198,B198),""000""))"),"")</f>
        <v/>
      </c>
      <c r="D198" s="57"/>
      <c r="E198" s="58"/>
      <c r="F198" s="59"/>
      <c r="G198" s="10"/>
      <c r="H198" s="55"/>
      <c r="I198" s="28"/>
      <c r="J198" s="28" t="s">
        <v>646</v>
      </c>
    </row>
    <row r="199" ht="22.5" customHeight="1">
      <c r="A199" s="9"/>
      <c r="B199" s="56"/>
      <c r="C199" s="13" t="str">
        <f>IFERROR(__xludf.DUMMYFUNCTION("IF(B199="""","""",LOWER(REGEXREPLACE(B199,""[^A-Za-z0-9]"",""""))&amp;""-""&amp;TEXT(COUNTIF($B$2:B199,B199),""000""))"),"")</f>
        <v/>
      </c>
      <c r="D199" s="57"/>
      <c r="E199" s="58"/>
      <c r="F199" s="59"/>
      <c r="G199" s="10"/>
      <c r="H199" s="55"/>
      <c r="I199" s="28"/>
      <c r="J199" s="28" t="s">
        <v>646</v>
      </c>
    </row>
    <row r="200" ht="22.5" customHeight="1">
      <c r="A200" s="9"/>
      <c r="B200" s="56"/>
      <c r="C200" s="13" t="str">
        <f>IFERROR(__xludf.DUMMYFUNCTION("IF(B200="""","""",LOWER(REGEXREPLACE(B200,""[^A-Za-z0-9]"",""""))&amp;""-""&amp;TEXT(COUNTIF($B$2:B200,B200),""000""))"),"")</f>
        <v/>
      </c>
      <c r="D200" s="57"/>
      <c r="E200" s="58"/>
      <c r="F200" s="59"/>
      <c r="G200" s="10"/>
      <c r="H200" s="55"/>
      <c r="I200" s="28"/>
      <c r="J200" s="28" t="s">
        <v>646</v>
      </c>
    </row>
    <row r="201" ht="22.5" customHeight="1">
      <c r="A201" s="9"/>
      <c r="B201" s="56"/>
      <c r="C201" s="13" t="str">
        <f>IFERROR(__xludf.DUMMYFUNCTION("IF(B201="""","""",LOWER(REGEXREPLACE(B201,""[^A-Za-z0-9]"",""""))&amp;""-""&amp;TEXT(COUNTIF($B$2:B201,B201),""000""))"),"")</f>
        <v/>
      </c>
      <c r="D201" s="57"/>
      <c r="E201" s="58"/>
      <c r="F201" s="59"/>
      <c r="G201" s="10"/>
      <c r="H201" s="55"/>
      <c r="I201" s="28"/>
      <c r="J201" s="28" t="s">
        <v>646</v>
      </c>
    </row>
    <row r="202" ht="22.5" customHeight="1">
      <c r="A202" s="9"/>
      <c r="B202" s="56"/>
      <c r="C202" s="13" t="str">
        <f>IFERROR(__xludf.DUMMYFUNCTION("IF(B202="""","""",LOWER(REGEXREPLACE(B202,""[^A-Za-z0-9]"",""""))&amp;""-""&amp;TEXT(COUNTIF($B$2:B202,B202),""000""))"),"")</f>
        <v/>
      </c>
      <c r="D202" s="57"/>
      <c r="E202" s="58"/>
      <c r="F202" s="59"/>
      <c r="G202" s="10"/>
      <c r="H202" s="55"/>
      <c r="I202" s="28"/>
      <c r="J202" s="28" t="s">
        <v>646</v>
      </c>
    </row>
    <row r="203" ht="22.5" customHeight="1">
      <c r="A203" s="9"/>
      <c r="B203" s="56"/>
      <c r="C203" s="13" t="str">
        <f>IFERROR(__xludf.DUMMYFUNCTION("IF(B203="""","""",LOWER(REGEXREPLACE(B203,""[^A-Za-z0-9]"",""""))&amp;""-""&amp;TEXT(COUNTIF($B$2:B203,B203),""000""))"),"")</f>
        <v/>
      </c>
      <c r="D203" s="57"/>
      <c r="E203" s="58"/>
      <c r="F203" s="59"/>
      <c r="G203" s="10"/>
      <c r="H203" s="55"/>
      <c r="I203" s="28"/>
      <c r="J203" s="28" t="s">
        <v>646</v>
      </c>
    </row>
    <row r="204" ht="22.5" customHeight="1">
      <c r="A204" s="9"/>
      <c r="B204" s="56"/>
      <c r="C204" s="13" t="str">
        <f>IFERROR(__xludf.DUMMYFUNCTION("IF(B204="""","""",LOWER(REGEXREPLACE(B204,""[^A-Za-z0-9]"",""""))&amp;""-""&amp;TEXT(COUNTIF($B$2:B204,B204),""000""))"),"")</f>
        <v/>
      </c>
      <c r="D204" s="57"/>
      <c r="E204" s="58"/>
      <c r="F204" s="59"/>
      <c r="G204" s="10"/>
      <c r="H204" s="55"/>
      <c r="I204" s="28"/>
      <c r="J204" s="28" t="s">
        <v>646</v>
      </c>
    </row>
    <row r="205" ht="22.5" customHeight="1">
      <c r="A205" s="9"/>
      <c r="B205" s="56"/>
      <c r="C205" s="13" t="str">
        <f>IFERROR(__xludf.DUMMYFUNCTION("IF(B205="""","""",LOWER(REGEXREPLACE(B205,""[^A-Za-z0-9]"",""""))&amp;""-""&amp;TEXT(COUNTIF($B$2:B205,B205),""000""))"),"")</f>
        <v/>
      </c>
      <c r="D205" s="57"/>
      <c r="E205" s="58"/>
      <c r="F205" s="59"/>
      <c r="G205" s="10"/>
      <c r="H205" s="55"/>
      <c r="I205" s="28"/>
      <c r="J205" s="28" t="s">
        <v>646</v>
      </c>
    </row>
    <row r="206" ht="22.5" customHeight="1">
      <c r="A206" s="9"/>
      <c r="B206" s="56"/>
      <c r="C206" s="13" t="str">
        <f>IFERROR(__xludf.DUMMYFUNCTION("IF(B206="""","""",LOWER(REGEXREPLACE(B206,""[^A-Za-z0-9]"",""""))&amp;""-""&amp;TEXT(COUNTIF($B$2:B206,B206),""000""))"),"")</f>
        <v/>
      </c>
      <c r="D206" s="57"/>
      <c r="E206" s="58"/>
      <c r="F206" s="59"/>
      <c r="G206" s="10"/>
      <c r="H206" s="55"/>
      <c r="I206" s="28"/>
      <c r="J206" s="28" t="s">
        <v>646</v>
      </c>
    </row>
    <row r="207" ht="22.5" customHeight="1">
      <c r="A207" s="9"/>
      <c r="B207" s="56"/>
      <c r="C207" s="13" t="str">
        <f>IFERROR(__xludf.DUMMYFUNCTION("IF(B207="""","""",LOWER(REGEXREPLACE(B207,""[^A-Za-z0-9]"",""""))&amp;""-""&amp;TEXT(COUNTIF($B$2:B207,B207),""000""))"),"")</f>
        <v/>
      </c>
      <c r="D207" s="57"/>
      <c r="E207" s="58"/>
      <c r="F207" s="59"/>
      <c r="G207" s="10"/>
      <c r="H207" s="55"/>
      <c r="I207" s="28"/>
      <c r="J207" s="28" t="s">
        <v>646</v>
      </c>
    </row>
    <row r="208" ht="22.5" customHeight="1">
      <c r="A208" s="9"/>
      <c r="B208" s="56"/>
      <c r="C208" s="13" t="str">
        <f>IFERROR(__xludf.DUMMYFUNCTION("IF(B208="""","""",LOWER(REGEXREPLACE(B208,""[^A-Za-z0-9]"",""""))&amp;""-""&amp;TEXT(COUNTIF($B$2:B208,B208),""000""))"),"")</f>
        <v/>
      </c>
      <c r="D208" s="57"/>
      <c r="E208" s="58"/>
      <c r="F208" s="59"/>
      <c r="G208" s="10"/>
      <c r="H208" s="55"/>
      <c r="I208" s="28"/>
      <c r="J208" s="28" t="s">
        <v>646</v>
      </c>
    </row>
    <row r="209" ht="22.5" customHeight="1">
      <c r="A209" s="9"/>
      <c r="B209" s="56"/>
      <c r="C209" s="13" t="str">
        <f>IFERROR(__xludf.DUMMYFUNCTION("IF(B209="""","""",LOWER(REGEXREPLACE(B209,""[^A-Za-z0-9]"",""""))&amp;""-""&amp;TEXT(COUNTIF($B$2:B209,B209),""000""))"),"")</f>
        <v/>
      </c>
      <c r="D209" s="57"/>
      <c r="E209" s="58"/>
      <c r="F209" s="59"/>
      <c r="G209" s="10"/>
      <c r="H209" s="55"/>
      <c r="I209" s="28"/>
      <c r="J209" s="28" t="s">
        <v>646</v>
      </c>
    </row>
    <row r="210" ht="22.5" customHeight="1">
      <c r="A210" s="9"/>
      <c r="B210" s="56"/>
      <c r="C210" s="13" t="str">
        <f>IFERROR(__xludf.DUMMYFUNCTION("IF(B210="""","""",LOWER(REGEXREPLACE(B210,""[^A-Za-z0-9]"",""""))&amp;""-""&amp;TEXT(COUNTIF($B$2:B210,B210),""000""))"),"")</f>
        <v/>
      </c>
      <c r="D210" s="57"/>
      <c r="E210" s="58"/>
      <c r="F210" s="59"/>
      <c r="G210" s="10"/>
      <c r="H210" s="55"/>
      <c r="I210" s="28"/>
      <c r="J210" s="28" t="s">
        <v>646</v>
      </c>
    </row>
    <row r="211" ht="22.5" customHeight="1">
      <c r="A211" s="9"/>
      <c r="B211" s="56"/>
      <c r="C211" s="13" t="str">
        <f>IFERROR(__xludf.DUMMYFUNCTION("IF(B211="""","""",LOWER(REGEXREPLACE(B211,""[^A-Za-z0-9]"",""""))&amp;""-""&amp;TEXT(COUNTIF($B$2:B211,B211),""000""))"),"")</f>
        <v/>
      </c>
      <c r="D211" s="57"/>
      <c r="E211" s="58"/>
      <c r="F211" s="59"/>
      <c r="G211" s="10"/>
      <c r="H211" s="55"/>
      <c r="I211" s="28"/>
      <c r="J211" s="28" t="s">
        <v>646</v>
      </c>
    </row>
    <row r="212" ht="22.5" customHeight="1">
      <c r="A212" s="9"/>
      <c r="B212" s="56"/>
      <c r="C212" s="13" t="str">
        <f>IFERROR(__xludf.DUMMYFUNCTION("IF(B212="""","""",LOWER(REGEXREPLACE(B212,""[^A-Za-z0-9]"",""""))&amp;""-""&amp;TEXT(COUNTIF($B$2:B212,B212),""000""))"),"")</f>
        <v/>
      </c>
      <c r="D212" s="57"/>
      <c r="E212" s="58"/>
      <c r="F212" s="59"/>
      <c r="G212" s="10"/>
      <c r="H212" s="55"/>
      <c r="I212" s="28"/>
      <c r="J212" s="28" t="s">
        <v>646</v>
      </c>
    </row>
    <row r="213" ht="22.5" customHeight="1">
      <c r="A213" s="9"/>
      <c r="B213" s="56"/>
      <c r="C213" s="13" t="str">
        <f>IFERROR(__xludf.DUMMYFUNCTION("IF(B213="""","""",LOWER(REGEXREPLACE(B213,""[^A-Za-z0-9]"",""""))&amp;""-""&amp;TEXT(COUNTIF($B$2:B213,B213),""000""))"),"")</f>
        <v/>
      </c>
      <c r="D213" s="57"/>
      <c r="E213" s="58"/>
      <c r="F213" s="59"/>
      <c r="G213" s="10"/>
      <c r="H213" s="55"/>
      <c r="I213" s="28"/>
      <c r="J213" s="28" t="s">
        <v>646</v>
      </c>
    </row>
    <row r="214" ht="22.5" customHeight="1">
      <c r="A214" s="9"/>
      <c r="B214" s="56"/>
      <c r="C214" s="13" t="str">
        <f>IFERROR(__xludf.DUMMYFUNCTION("IF(B214="""","""",LOWER(REGEXREPLACE(B214,""[^A-Za-z0-9]"",""""))&amp;""-""&amp;TEXT(COUNTIF($B$2:B214,B214),""000""))"),"")</f>
        <v/>
      </c>
      <c r="D214" s="57"/>
      <c r="E214" s="58"/>
      <c r="F214" s="59"/>
      <c r="G214" s="10"/>
      <c r="H214" s="55"/>
      <c r="I214" s="28"/>
      <c r="J214" s="28" t="s">
        <v>646</v>
      </c>
    </row>
    <row r="215" ht="22.5" customHeight="1">
      <c r="A215" s="9"/>
      <c r="B215" s="56"/>
      <c r="C215" s="13" t="str">
        <f>IFERROR(__xludf.DUMMYFUNCTION("IF(B215="""","""",LOWER(REGEXREPLACE(B215,""[^A-Za-z0-9]"",""""))&amp;""-""&amp;TEXT(COUNTIF($B$2:B215,B215),""000""))"),"")</f>
        <v/>
      </c>
      <c r="D215" s="57"/>
      <c r="E215" s="58"/>
      <c r="F215" s="59"/>
      <c r="G215" s="10"/>
      <c r="H215" s="55"/>
      <c r="I215" s="28"/>
      <c r="J215" s="28" t="s">
        <v>646</v>
      </c>
    </row>
    <row r="216" ht="22.5" customHeight="1">
      <c r="A216" s="9"/>
      <c r="B216" s="56"/>
      <c r="C216" s="13" t="str">
        <f>IFERROR(__xludf.DUMMYFUNCTION("IF(B216="""","""",LOWER(REGEXREPLACE(B216,""[^A-Za-z0-9]"",""""))&amp;""-""&amp;TEXT(COUNTIF($B$2:B216,B216),""000""))"),"")</f>
        <v/>
      </c>
      <c r="D216" s="57"/>
      <c r="E216" s="58"/>
      <c r="F216" s="59"/>
      <c r="G216" s="10"/>
      <c r="H216" s="55"/>
      <c r="I216" s="28"/>
      <c r="J216" s="28" t="s">
        <v>646</v>
      </c>
    </row>
    <row r="217" ht="22.5" customHeight="1">
      <c r="A217" s="9"/>
      <c r="B217" s="56"/>
      <c r="C217" s="13" t="str">
        <f>IFERROR(__xludf.DUMMYFUNCTION("IF(B217="""","""",LOWER(REGEXREPLACE(B217,""[^A-Za-z0-9]"",""""))&amp;""-""&amp;TEXT(COUNTIF($B$2:B217,B217),""000""))"),"")</f>
        <v/>
      </c>
      <c r="D217" s="57"/>
      <c r="E217" s="58"/>
      <c r="F217" s="59"/>
      <c r="G217" s="10"/>
      <c r="H217" s="55"/>
      <c r="I217" s="28"/>
      <c r="J217" s="28" t="s">
        <v>646</v>
      </c>
    </row>
    <row r="218" ht="22.5" customHeight="1">
      <c r="A218" s="9"/>
      <c r="B218" s="56"/>
      <c r="C218" s="13" t="str">
        <f>IFERROR(__xludf.DUMMYFUNCTION("IF(B218="""","""",LOWER(REGEXREPLACE(B218,""[^A-Za-z0-9]"",""""))&amp;""-""&amp;TEXT(COUNTIF($B$2:B218,B218),""000""))"),"")</f>
        <v/>
      </c>
      <c r="D218" s="57"/>
      <c r="E218" s="58"/>
      <c r="F218" s="59"/>
      <c r="G218" s="10"/>
      <c r="H218" s="55"/>
      <c r="I218" s="28"/>
      <c r="J218" s="28" t="s">
        <v>646</v>
      </c>
    </row>
    <row r="219" ht="22.5" customHeight="1">
      <c r="A219" s="9"/>
      <c r="B219" s="56"/>
      <c r="C219" s="13" t="str">
        <f>IFERROR(__xludf.DUMMYFUNCTION("IF(B219="""","""",LOWER(REGEXREPLACE(B219,""[^A-Za-z0-9]"",""""))&amp;""-""&amp;TEXT(COUNTIF($B$2:B219,B219),""000""))"),"")</f>
        <v/>
      </c>
      <c r="D219" s="57"/>
      <c r="E219" s="58"/>
      <c r="F219" s="59"/>
      <c r="G219" s="10"/>
      <c r="H219" s="55"/>
      <c r="I219" s="28"/>
      <c r="J219" s="28" t="s">
        <v>646</v>
      </c>
    </row>
    <row r="220" ht="22.5" customHeight="1">
      <c r="A220" s="9"/>
      <c r="B220" s="56"/>
      <c r="C220" s="13" t="str">
        <f>IFERROR(__xludf.DUMMYFUNCTION("IF(B220="""","""",LOWER(REGEXREPLACE(B220,""[^A-Za-z0-9]"",""""))&amp;""-""&amp;TEXT(COUNTIF($B$2:B220,B220),""000""))"),"")</f>
        <v/>
      </c>
      <c r="D220" s="57"/>
      <c r="E220" s="58"/>
      <c r="F220" s="59"/>
      <c r="G220" s="10"/>
      <c r="H220" s="55"/>
      <c r="I220" s="28"/>
      <c r="J220" s="28" t="s">
        <v>646</v>
      </c>
    </row>
    <row r="221" ht="22.5" customHeight="1">
      <c r="A221" s="9"/>
      <c r="B221" s="56"/>
      <c r="C221" s="13" t="str">
        <f>IFERROR(__xludf.DUMMYFUNCTION("IF(B221="""","""",LOWER(REGEXREPLACE(B221,""[^A-Za-z0-9]"",""""))&amp;""-""&amp;TEXT(COUNTIF($B$2:B221,B221),""000""))"),"")</f>
        <v/>
      </c>
      <c r="D221" s="57"/>
      <c r="E221" s="58"/>
      <c r="F221" s="59"/>
      <c r="G221" s="10"/>
      <c r="H221" s="55"/>
      <c r="I221" s="28"/>
      <c r="J221" s="28" t="s">
        <v>646</v>
      </c>
    </row>
    <row r="222" ht="22.5" customHeight="1">
      <c r="A222" s="9"/>
      <c r="B222" s="56"/>
      <c r="C222" s="13" t="str">
        <f>IFERROR(__xludf.DUMMYFUNCTION("IF(B222="""","""",LOWER(REGEXREPLACE(B222,""[^A-Za-z0-9]"",""""))&amp;""-""&amp;TEXT(COUNTIF($B$2:B222,B222),""000""))"),"")</f>
        <v/>
      </c>
      <c r="D222" s="57"/>
      <c r="E222" s="58"/>
      <c r="F222" s="59"/>
      <c r="G222" s="10"/>
      <c r="H222" s="55"/>
      <c r="I222" s="28"/>
      <c r="J222" s="28" t="s">
        <v>646</v>
      </c>
    </row>
    <row r="223" ht="22.5" customHeight="1">
      <c r="A223" s="9"/>
      <c r="B223" s="56"/>
      <c r="C223" s="13" t="str">
        <f>IFERROR(__xludf.DUMMYFUNCTION("IF(B223="""","""",LOWER(REGEXREPLACE(B223,""[^A-Za-z0-9]"",""""))&amp;""-""&amp;TEXT(COUNTIF($B$2:B223,B223),""000""))"),"")</f>
        <v/>
      </c>
      <c r="D223" s="57"/>
      <c r="E223" s="58"/>
      <c r="F223" s="59"/>
      <c r="G223" s="10"/>
      <c r="H223" s="55"/>
      <c r="I223" s="28"/>
      <c r="J223" s="28" t="s">
        <v>646</v>
      </c>
    </row>
    <row r="224" ht="22.5" customHeight="1">
      <c r="A224" s="9"/>
      <c r="B224" s="56"/>
      <c r="C224" s="13" t="str">
        <f>IFERROR(__xludf.DUMMYFUNCTION("IF(B224="""","""",LOWER(REGEXREPLACE(B224,""[^A-Za-z0-9]"",""""))&amp;""-""&amp;TEXT(COUNTIF($B$2:B224,B224),""000""))"),"")</f>
        <v/>
      </c>
      <c r="D224" s="57"/>
      <c r="E224" s="58"/>
      <c r="F224" s="59"/>
      <c r="G224" s="10"/>
      <c r="H224" s="55"/>
      <c r="I224" s="28"/>
      <c r="J224" s="28" t="s">
        <v>646</v>
      </c>
    </row>
    <row r="225" ht="22.5" customHeight="1">
      <c r="A225" s="9"/>
      <c r="B225" s="56"/>
      <c r="C225" s="13" t="str">
        <f>IFERROR(__xludf.DUMMYFUNCTION("IF(B225="""","""",LOWER(REGEXREPLACE(B225,""[^A-Za-z0-9]"",""""))&amp;""-""&amp;TEXT(COUNTIF($B$2:B225,B225),""000""))"),"")</f>
        <v/>
      </c>
      <c r="D225" s="57"/>
      <c r="E225" s="58"/>
      <c r="F225" s="59"/>
      <c r="G225" s="10"/>
      <c r="H225" s="55"/>
      <c r="I225" s="28"/>
      <c r="J225" s="28" t="s">
        <v>646</v>
      </c>
    </row>
    <row r="226" ht="22.5" customHeight="1">
      <c r="A226" s="9"/>
      <c r="B226" s="56"/>
      <c r="C226" s="13" t="str">
        <f>IFERROR(__xludf.DUMMYFUNCTION("IF(B226="""","""",LOWER(REGEXREPLACE(B226,""[^A-Za-z0-9]"",""""))&amp;""-""&amp;TEXT(COUNTIF($B$2:B226,B226),""000""))"),"")</f>
        <v/>
      </c>
      <c r="D226" s="57"/>
      <c r="E226" s="58"/>
      <c r="F226" s="59"/>
      <c r="G226" s="10"/>
      <c r="H226" s="55"/>
      <c r="I226" s="28"/>
      <c r="J226" s="28" t="s">
        <v>646</v>
      </c>
    </row>
    <row r="227" ht="22.5" customHeight="1">
      <c r="A227" s="9"/>
      <c r="B227" s="56"/>
      <c r="C227" s="13" t="str">
        <f>IFERROR(__xludf.DUMMYFUNCTION("IF(B227="""","""",LOWER(REGEXREPLACE(B227,""[^A-Za-z0-9]"",""""))&amp;""-""&amp;TEXT(COUNTIF($B$2:B227,B227),""000""))"),"")</f>
        <v/>
      </c>
      <c r="D227" s="57"/>
      <c r="E227" s="58"/>
      <c r="F227" s="59"/>
      <c r="G227" s="10"/>
      <c r="H227" s="55"/>
      <c r="I227" s="28"/>
      <c r="J227" s="28" t="s">
        <v>646</v>
      </c>
    </row>
    <row r="228" ht="22.5" customHeight="1">
      <c r="A228" s="9"/>
      <c r="B228" s="56"/>
      <c r="C228" s="13" t="str">
        <f>IFERROR(__xludf.DUMMYFUNCTION("IF(B228="""","""",LOWER(REGEXREPLACE(B228,""[^A-Za-z0-9]"",""""))&amp;""-""&amp;TEXT(COUNTIF($B$2:B228,B228),""000""))"),"")</f>
        <v/>
      </c>
      <c r="D228" s="57"/>
      <c r="E228" s="58"/>
      <c r="F228" s="59"/>
      <c r="G228" s="10"/>
      <c r="H228" s="55"/>
      <c r="I228" s="28"/>
      <c r="J228" s="28" t="s">
        <v>646</v>
      </c>
    </row>
    <row r="229" ht="22.5" customHeight="1">
      <c r="A229" s="9"/>
      <c r="B229" s="56"/>
      <c r="C229" s="13" t="str">
        <f>IFERROR(__xludf.DUMMYFUNCTION("IF(B229="""","""",LOWER(REGEXREPLACE(B229,""[^A-Za-z0-9]"",""""))&amp;""-""&amp;TEXT(COUNTIF($B$2:B229,B229),""000""))"),"")</f>
        <v/>
      </c>
      <c r="D229" s="57"/>
      <c r="E229" s="58"/>
      <c r="F229" s="59"/>
      <c r="G229" s="10"/>
      <c r="H229" s="55"/>
      <c r="I229" s="28"/>
      <c r="J229" s="28" t="s">
        <v>646</v>
      </c>
    </row>
    <row r="230" ht="22.5" customHeight="1">
      <c r="A230" s="9"/>
      <c r="B230" s="56"/>
      <c r="C230" s="13" t="str">
        <f>IFERROR(__xludf.DUMMYFUNCTION("IF(B230="""","""",LOWER(REGEXREPLACE(B230,""[^A-Za-z0-9]"",""""))&amp;""-""&amp;TEXT(COUNTIF($B$2:B230,B230),""000""))"),"")</f>
        <v/>
      </c>
      <c r="D230" s="57"/>
      <c r="E230" s="58"/>
      <c r="F230" s="59"/>
      <c r="G230" s="10"/>
      <c r="H230" s="55"/>
      <c r="I230" s="28"/>
      <c r="J230" s="28" t="s">
        <v>646</v>
      </c>
    </row>
    <row r="231" ht="22.5" customHeight="1">
      <c r="A231" s="9"/>
      <c r="B231" s="56"/>
      <c r="C231" s="13" t="str">
        <f>IFERROR(__xludf.DUMMYFUNCTION("IF(B231="""","""",LOWER(REGEXREPLACE(B231,""[^A-Za-z0-9]"",""""))&amp;""-""&amp;TEXT(COUNTIF($B$2:B231,B231),""000""))"),"")</f>
        <v/>
      </c>
      <c r="D231" s="57"/>
      <c r="E231" s="58"/>
      <c r="F231" s="59"/>
      <c r="G231" s="10"/>
      <c r="H231" s="55"/>
      <c r="I231" s="28"/>
      <c r="J231" s="28" t="s">
        <v>646</v>
      </c>
    </row>
    <row r="232" ht="22.5" customHeight="1">
      <c r="A232" s="9"/>
      <c r="B232" s="56"/>
      <c r="C232" s="13" t="str">
        <f>IFERROR(__xludf.DUMMYFUNCTION("IF(B232="""","""",LOWER(REGEXREPLACE(B232,""[^A-Za-z0-9]"",""""))&amp;""-""&amp;TEXT(COUNTIF($B$2:B232,B232),""000""))"),"")</f>
        <v/>
      </c>
      <c r="D232" s="57"/>
      <c r="E232" s="58"/>
      <c r="F232" s="59"/>
      <c r="G232" s="10"/>
      <c r="H232" s="55"/>
      <c r="I232" s="28"/>
      <c r="J232" s="28" t="s">
        <v>646</v>
      </c>
    </row>
    <row r="233" ht="22.5" customHeight="1">
      <c r="A233" s="9"/>
      <c r="B233" s="56"/>
      <c r="C233" s="13" t="str">
        <f>IFERROR(__xludf.DUMMYFUNCTION("IF(B233="""","""",LOWER(REGEXREPLACE(B233,""[^A-Za-z0-9]"",""""))&amp;""-""&amp;TEXT(COUNTIF($B$2:B233,B233),""000""))"),"")</f>
        <v/>
      </c>
      <c r="D233" s="57"/>
      <c r="E233" s="58"/>
      <c r="F233" s="59"/>
      <c r="G233" s="10"/>
      <c r="H233" s="55"/>
      <c r="I233" s="28"/>
      <c r="J233" s="28" t="s">
        <v>646</v>
      </c>
    </row>
    <row r="234" ht="22.5" customHeight="1">
      <c r="A234" s="9"/>
      <c r="B234" s="56"/>
      <c r="C234" s="13" t="str">
        <f>IFERROR(__xludf.DUMMYFUNCTION("IF(B234="""","""",LOWER(REGEXREPLACE(B234,""[^A-Za-z0-9]"",""""))&amp;""-""&amp;TEXT(COUNTIF($B$2:B234,B234),""000""))"),"")</f>
        <v/>
      </c>
      <c r="D234" s="57"/>
      <c r="E234" s="58"/>
      <c r="F234" s="59"/>
      <c r="G234" s="10"/>
      <c r="H234" s="55"/>
      <c r="I234" s="28"/>
      <c r="J234" s="28" t="s">
        <v>646</v>
      </c>
    </row>
    <row r="235" ht="22.5" customHeight="1">
      <c r="A235" s="9"/>
      <c r="B235" s="56"/>
      <c r="C235" s="13" t="str">
        <f>IFERROR(__xludf.DUMMYFUNCTION("IF(B235="""","""",LOWER(REGEXREPLACE(B235,""[^A-Za-z0-9]"",""""))&amp;""-""&amp;TEXT(COUNTIF($B$2:B235,B235),""000""))"),"")</f>
        <v/>
      </c>
      <c r="D235" s="57"/>
      <c r="E235" s="58"/>
      <c r="F235" s="59"/>
      <c r="G235" s="10"/>
      <c r="H235" s="55"/>
      <c r="I235" s="28"/>
      <c r="J235" s="28" t="s">
        <v>646</v>
      </c>
    </row>
    <row r="236" ht="22.5" customHeight="1">
      <c r="A236" s="9"/>
      <c r="B236" s="56"/>
      <c r="C236" s="13" t="str">
        <f>IFERROR(__xludf.DUMMYFUNCTION("IF(B236="""","""",LOWER(REGEXREPLACE(B236,""[^A-Za-z0-9]"",""""))&amp;""-""&amp;TEXT(COUNTIF($B$2:B236,B236),""000""))"),"")</f>
        <v/>
      </c>
      <c r="D236" s="57"/>
      <c r="E236" s="58"/>
      <c r="F236" s="59"/>
      <c r="G236" s="10"/>
      <c r="H236" s="55"/>
      <c r="I236" s="28"/>
      <c r="J236" s="28" t="s">
        <v>646</v>
      </c>
    </row>
    <row r="237" ht="22.5" customHeight="1">
      <c r="A237" s="9"/>
      <c r="B237" s="56"/>
      <c r="C237" s="13" t="str">
        <f>IFERROR(__xludf.DUMMYFUNCTION("IF(B237="""","""",LOWER(REGEXREPLACE(B237,""[^A-Za-z0-9]"",""""))&amp;""-""&amp;TEXT(COUNTIF($B$2:B237,B237),""000""))"),"")</f>
        <v/>
      </c>
      <c r="D237" s="57"/>
      <c r="E237" s="58"/>
      <c r="F237" s="59"/>
      <c r="G237" s="10"/>
      <c r="H237" s="55"/>
      <c r="I237" s="28"/>
      <c r="J237" s="28" t="s">
        <v>646</v>
      </c>
    </row>
    <row r="238" ht="22.5" customHeight="1">
      <c r="A238" s="9"/>
      <c r="B238" s="56"/>
      <c r="C238" s="13" t="str">
        <f>IFERROR(__xludf.DUMMYFUNCTION("IF(B238="""","""",LOWER(REGEXREPLACE(B238,""[^A-Za-z0-9]"",""""))&amp;""-""&amp;TEXT(COUNTIF($B$2:B238,B238),""000""))"),"")</f>
        <v/>
      </c>
      <c r="D238" s="57"/>
      <c r="E238" s="58"/>
      <c r="F238" s="59"/>
      <c r="G238" s="10"/>
      <c r="H238" s="55"/>
      <c r="I238" s="28"/>
      <c r="J238" s="28" t="s">
        <v>646</v>
      </c>
    </row>
    <row r="239" ht="22.5" customHeight="1">
      <c r="A239" s="9"/>
      <c r="B239" s="56"/>
      <c r="C239" s="13" t="str">
        <f>IFERROR(__xludf.DUMMYFUNCTION("IF(B239="""","""",LOWER(REGEXREPLACE(B239,""[^A-Za-z0-9]"",""""))&amp;""-""&amp;TEXT(COUNTIF($B$2:B239,B239),""000""))"),"")</f>
        <v/>
      </c>
      <c r="D239" s="57"/>
      <c r="E239" s="58"/>
      <c r="F239" s="59"/>
      <c r="G239" s="10"/>
      <c r="H239" s="55"/>
      <c r="I239" s="28"/>
      <c r="J239" s="28" t="s">
        <v>646</v>
      </c>
    </row>
    <row r="240" ht="22.5" customHeight="1">
      <c r="A240" s="9"/>
      <c r="B240" s="56"/>
      <c r="C240" s="13" t="str">
        <f>IFERROR(__xludf.DUMMYFUNCTION("IF(B240="""","""",LOWER(REGEXREPLACE(B240,""[^A-Za-z0-9]"",""""))&amp;""-""&amp;TEXT(COUNTIF($B$2:B240,B240),""000""))"),"")</f>
        <v/>
      </c>
      <c r="D240" s="57"/>
      <c r="E240" s="58"/>
      <c r="F240" s="59"/>
      <c r="G240" s="10"/>
      <c r="H240" s="55"/>
      <c r="I240" s="28"/>
      <c r="J240" s="28" t="s">
        <v>646</v>
      </c>
    </row>
    <row r="241" ht="22.5" customHeight="1">
      <c r="A241" s="9"/>
      <c r="B241" s="56"/>
      <c r="C241" s="13" t="str">
        <f>IFERROR(__xludf.DUMMYFUNCTION("IF(B241="""","""",LOWER(REGEXREPLACE(B241,""[^A-Za-z0-9]"",""""))&amp;""-""&amp;TEXT(COUNTIF($B$2:B241,B241),""000""))"),"")</f>
        <v/>
      </c>
      <c r="D241" s="57"/>
      <c r="E241" s="58"/>
      <c r="F241" s="59"/>
      <c r="G241" s="10"/>
      <c r="H241" s="55"/>
      <c r="I241" s="28"/>
      <c r="J241" s="28" t="s">
        <v>646</v>
      </c>
    </row>
    <row r="242" ht="22.5" customHeight="1">
      <c r="A242" s="9"/>
      <c r="B242" s="56"/>
      <c r="C242" s="13" t="str">
        <f>IFERROR(__xludf.DUMMYFUNCTION("IF(B242="""","""",LOWER(REGEXREPLACE(B242,""[^A-Za-z0-9]"",""""))&amp;""-""&amp;TEXT(COUNTIF($B$2:B242,B242),""000""))"),"")</f>
        <v/>
      </c>
      <c r="D242" s="57"/>
      <c r="E242" s="58"/>
      <c r="F242" s="59"/>
      <c r="G242" s="10"/>
      <c r="H242" s="55"/>
      <c r="I242" s="28"/>
      <c r="J242" s="28" t="s">
        <v>646</v>
      </c>
    </row>
    <row r="243" ht="22.5" customHeight="1">
      <c r="A243" s="9"/>
      <c r="B243" s="56"/>
      <c r="C243" s="13" t="str">
        <f>IFERROR(__xludf.DUMMYFUNCTION("IF(B243="""","""",LOWER(REGEXREPLACE(B243,""[^A-Za-z0-9]"",""""))&amp;""-""&amp;TEXT(COUNTIF($B$2:B243,B243),""000""))"),"")</f>
        <v/>
      </c>
      <c r="D243" s="57"/>
      <c r="E243" s="58"/>
      <c r="F243" s="59"/>
      <c r="G243" s="10"/>
      <c r="H243" s="55"/>
      <c r="I243" s="28"/>
      <c r="J243" s="28" t="s">
        <v>646</v>
      </c>
    </row>
    <row r="244" ht="22.5" customHeight="1">
      <c r="A244" s="9"/>
      <c r="B244" s="56"/>
      <c r="C244" s="13" t="str">
        <f>IFERROR(__xludf.DUMMYFUNCTION("IF(B244="""","""",LOWER(REGEXREPLACE(B244,""[^A-Za-z0-9]"",""""))&amp;""-""&amp;TEXT(COUNTIF($B$2:B244,B244),""000""))"),"")</f>
        <v/>
      </c>
      <c r="D244" s="57"/>
      <c r="E244" s="58"/>
      <c r="F244" s="59"/>
      <c r="G244" s="10"/>
      <c r="H244" s="55"/>
      <c r="I244" s="28"/>
      <c r="J244" s="28" t="s">
        <v>646</v>
      </c>
    </row>
    <row r="245" ht="22.5" customHeight="1">
      <c r="A245" s="9"/>
      <c r="B245" s="56"/>
      <c r="C245" s="13" t="str">
        <f>IFERROR(__xludf.DUMMYFUNCTION("IF(B245="""","""",LOWER(REGEXREPLACE(B245,""[^A-Za-z0-9]"",""""))&amp;""-""&amp;TEXT(COUNTIF($B$2:B245,B245),""000""))"),"")</f>
        <v/>
      </c>
      <c r="D245" s="57"/>
      <c r="E245" s="58"/>
      <c r="F245" s="59"/>
      <c r="G245" s="10"/>
      <c r="H245" s="55"/>
      <c r="I245" s="28"/>
      <c r="J245" s="28" t="s">
        <v>646</v>
      </c>
    </row>
    <row r="246" ht="22.5" customHeight="1">
      <c r="A246" s="9"/>
      <c r="B246" s="56"/>
      <c r="C246" s="13" t="str">
        <f>IFERROR(__xludf.DUMMYFUNCTION("IF(B246="""","""",LOWER(REGEXREPLACE(B246,""[^A-Za-z0-9]"",""""))&amp;""-""&amp;TEXT(COUNTIF($B$2:B246,B246),""000""))"),"")</f>
        <v/>
      </c>
      <c r="D246" s="57"/>
      <c r="E246" s="58"/>
      <c r="F246" s="59"/>
      <c r="G246" s="10"/>
      <c r="H246" s="55"/>
      <c r="I246" s="28"/>
      <c r="J246" s="28" t="s">
        <v>646</v>
      </c>
    </row>
    <row r="247" ht="22.5" customHeight="1">
      <c r="A247" s="9"/>
      <c r="B247" s="56"/>
      <c r="C247" s="13" t="str">
        <f>IFERROR(__xludf.DUMMYFUNCTION("IF(B247="""","""",LOWER(REGEXREPLACE(B247,""[^A-Za-z0-9]"",""""))&amp;""-""&amp;TEXT(COUNTIF($B$2:B247,B247),""000""))"),"")</f>
        <v/>
      </c>
      <c r="D247" s="57"/>
      <c r="E247" s="58"/>
      <c r="F247" s="59"/>
      <c r="G247" s="10"/>
      <c r="H247" s="55"/>
      <c r="I247" s="28"/>
      <c r="J247" s="28" t="s">
        <v>646</v>
      </c>
    </row>
    <row r="248" ht="22.5" customHeight="1">
      <c r="A248" s="9"/>
      <c r="B248" s="56"/>
      <c r="C248" s="13" t="str">
        <f>IFERROR(__xludf.DUMMYFUNCTION("IF(B248="""","""",LOWER(REGEXREPLACE(B248,""[^A-Za-z0-9]"",""""))&amp;""-""&amp;TEXT(COUNTIF($B$2:B248,B248),""000""))"),"")</f>
        <v/>
      </c>
      <c r="D248" s="57"/>
      <c r="E248" s="58"/>
      <c r="F248" s="59"/>
      <c r="G248" s="10"/>
      <c r="H248" s="55"/>
      <c r="I248" s="28"/>
      <c r="J248" s="28" t="s">
        <v>646</v>
      </c>
    </row>
    <row r="249" ht="22.5" customHeight="1">
      <c r="A249" s="9"/>
      <c r="B249" s="56"/>
      <c r="C249" s="13" t="str">
        <f>IFERROR(__xludf.DUMMYFUNCTION("IF(B249="""","""",LOWER(REGEXREPLACE(B249,""[^A-Za-z0-9]"",""""))&amp;""-""&amp;TEXT(COUNTIF($B$2:B249,B249),""000""))"),"")</f>
        <v/>
      </c>
      <c r="D249" s="57"/>
      <c r="E249" s="58"/>
      <c r="F249" s="59"/>
      <c r="G249" s="10"/>
      <c r="H249" s="55"/>
      <c r="I249" s="28"/>
      <c r="J249" s="28" t="s">
        <v>646</v>
      </c>
    </row>
    <row r="250" ht="22.5" customHeight="1">
      <c r="A250" s="9"/>
      <c r="B250" s="56"/>
      <c r="C250" s="13" t="str">
        <f>IFERROR(__xludf.DUMMYFUNCTION("IF(B250="""","""",LOWER(REGEXREPLACE(B250,""[^A-Za-z0-9]"",""""))&amp;""-""&amp;TEXT(COUNTIF($B$2:B250,B250),""000""))"),"")</f>
        <v/>
      </c>
      <c r="D250" s="57"/>
      <c r="E250" s="58"/>
      <c r="F250" s="59"/>
      <c r="G250" s="10"/>
      <c r="H250" s="55"/>
      <c r="I250" s="28"/>
      <c r="J250" s="28" t="s">
        <v>646</v>
      </c>
    </row>
    <row r="251" ht="22.5" customHeight="1">
      <c r="A251" s="9"/>
      <c r="B251" s="56"/>
      <c r="C251" s="13" t="str">
        <f>IFERROR(__xludf.DUMMYFUNCTION("IF(B251="""","""",LOWER(REGEXREPLACE(B251,""[^A-Za-z0-9]"",""""))&amp;""-""&amp;TEXT(COUNTIF($B$2:B251,B251),""000""))"),"")</f>
        <v/>
      </c>
      <c r="D251" s="57"/>
      <c r="E251" s="58"/>
      <c r="F251" s="59"/>
      <c r="G251" s="10"/>
      <c r="H251" s="55"/>
      <c r="I251" s="28"/>
      <c r="J251" s="28" t="s">
        <v>646</v>
      </c>
    </row>
    <row r="252" ht="22.5" customHeight="1">
      <c r="A252" s="9"/>
      <c r="B252" s="56"/>
      <c r="C252" s="13" t="str">
        <f>IFERROR(__xludf.DUMMYFUNCTION("IF(B252="""","""",LOWER(REGEXREPLACE(B252,""[^A-Za-z0-9]"",""""))&amp;""-""&amp;TEXT(COUNTIF($B$2:B252,B252),""000""))"),"")</f>
        <v/>
      </c>
      <c r="D252" s="57"/>
      <c r="E252" s="58"/>
      <c r="F252" s="59"/>
      <c r="G252" s="10"/>
      <c r="H252" s="55"/>
      <c r="I252" s="28"/>
      <c r="J252" s="28" t="s">
        <v>646</v>
      </c>
    </row>
    <row r="253" ht="22.5" customHeight="1">
      <c r="A253" s="9"/>
      <c r="B253" s="56"/>
      <c r="C253" s="13" t="str">
        <f>IFERROR(__xludf.DUMMYFUNCTION("IF(B253="""","""",LOWER(REGEXREPLACE(B253,""[^A-Za-z0-9]"",""""))&amp;""-""&amp;TEXT(COUNTIF($B$2:B253,B253),""000""))"),"")</f>
        <v/>
      </c>
      <c r="D253" s="57"/>
      <c r="E253" s="58"/>
      <c r="F253" s="59"/>
      <c r="G253" s="10"/>
      <c r="H253" s="55"/>
      <c r="I253" s="28"/>
      <c r="J253" s="28" t="s">
        <v>646</v>
      </c>
    </row>
    <row r="254" ht="22.5" customHeight="1">
      <c r="A254" s="9"/>
      <c r="B254" s="56"/>
      <c r="C254" s="13" t="str">
        <f>IFERROR(__xludf.DUMMYFUNCTION("IF(B254="""","""",LOWER(REGEXREPLACE(B254,""[^A-Za-z0-9]"",""""))&amp;""-""&amp;TEXT(COUNTIF($B$2:B254,B254),""000""))"),"")</f>
        <v/>
      </c>
      <c r="D254" s="57"/>
      <c r="E254" s="58"/>
      <c r="F254" s="59"/>
      <c r="G254" s="10"/>
      <c r="H254" s="55"/>
      <c r="I254" s="28"/>
      <c r="J254" s="28" t="s">
        <v>646</v>
      </c>
    </row>
    <row r="255" ht="22.5" customHeight="1">
      <c r="A255" s="9"/>
      <c r="B255" s="56"/>
      <c r="C255" s="13" t="str">
        <f>IFERROR(__xludf.DUMMYFUNCTION("IF(B255="""","""",LOWER(REGEXREPLACE(B255,""[^A-Za-z0-9]"",""""))&amp;""-""&amp;TEXT(COUNTIF($B$2:B255,B255),""000""))"),"")</f>
        <v/>
      </c>
      <c r="D255" s="57"/>
      <c r="E255" s="58"/>
      <c r="F255" s="59"/>
      <c r="G255" s="10"/>
      <c r="H255" s="55"/>
      <c r="I255" s="28"/>
      <c r="J255" s="28" t="s">
        <v>646</v>
      </c>
    </row>
    <row r="256" ht="22.5" customHeight="1">
      <c r="A256" s="9"/>
      <c r="B256" s="56"/>
      <c r="C256" s="13" t="str">
        <f>IFERROR(__xludf.DUMMYFUNCTION("IF(B256="""","""",LOWER(REGEXREPLACE(B256,""[^A-Za-z0-9]"",""""))&amp;""-""&amp;TEXT(COUNTIF($B$2:B256,B256),""000""))"),"")</f>
        <v/>
      </c>
      <c r="D256" s="57"/>
      <c r="E256" s="58"/>
      <c r="F256" s="59"/>
      <c r="G256" s="10"/>
      <c r="H256" s="55"/>
      <c r="I256" s="28"/>
      <c r="J256" s="28" t="s">
        <v>646</v>
      </c>
    </row>
    <row r="257" ht="22.5" customHeight="1">
      <c r="A257" s="9"/>
      <c r="B257" s="56"/>
      <c r="C257" s="13" t="str">
        <f>IFERROR(__xludf.DUMMYFUNCTION("IF(B257="""","""",LOWER(REGEXREPLACE(B257,""[^A-Za-z0-9]"",""""))&amp;""-""&amp;TEXT(COUNTIF($B$2:B257,B257),""000""))"),"")</f>
        <v/>
      </c>
      <c r="D257" s="57"/>
      <c r="E257" s="58"/>
      <c r="F257" s="59"/>
      <c r="G257" s="10"/>
      <c r="H257" s="55"/>
      <c r="I257" s="28"/>
      <c r="J257" s="28" t="s">
        <v>646</v>
      </c>
    </row>
    <row r="258" ht="22.5" customHeight="1">
      <c r="A258" s="9"/>
      <c r="B258" s="56"/>
      <c r="C258" s="13" t="str">
        <f>IFERROR(__xludf.DUMMYFUNCTION("IF(B258="""","""",LOWER(REGEXREPLACE(B258,""[^A-Za-z0-9]"",""""))&amp;""-""&amp;TEXT(COUNTIF($B$2:B258,B258),""000""))"),"")</f>
        <v/>
      </c>
      <c r="D258" s="57"/>
      <c r="E258" s="58"/>
      <c r="F258" s="59"/>
      <c r="G258" s="10"/>
      <c r="H258" s="55"/>
      <c r="I258" s="28"/>
      <c r="J258" s="28" t="s">
        <v>646</v>
      </c>
    </row>
    <row r="259" ht="22.5" customHeight="1">
      <c r="A259" s="9"/>
      <c r="B259" s="56"/>
      <c r="C259" s="13" t="str">
        <f>IFERROR(__xludf.DUMMYFUNCTION("IF(B259="""","""",LOWER(REGEXREPLACE(B259,""[^A-Za-z0-9]"",""""))&amp;""-""&amp;TEXT(COUNTIF($B$2:B259,B259),""000""))"),"")</f>
        <v/>
      </c>
      <c r="D259" s="57"/>
      <c r="E259" s="58"/>
      <c r="F259" s="59"/>
      <c r="G259" s="10"/>
      <c r="H259" s="55"/>
      <c r="I259" s="28"/>
      <c r="J259" s="28" t="s">
        <v>646</v>
      </c>
    </row>
    <row r="260" ht="22.5" customHeight="1">
      <c r="A260" s="9"/>
      <c r="B260" s="56"/>
      <c r="C260" s="13" t="str">
        <f>IFERROR(__xludf.DUMMYFUNCTION("IF(B260="""","""",LOWER(REGEXREPLACE(B260,""[^A-Za-z0-9]"",""""))&amp;""-""&amp;TEXT(COUNTIF($B$2:B260,B260),""000""))"),"")</f>
        <v/>
      </c>
      <c r="D260" s="57"/>
      <c r="E260" s="58"/>
      <c r="F260" s="59"/>
      <c r="G260" s="10"/>
      <c r="H260" s="55"/>
      <c r="I260" s="28"/>
      <c r="J260" s="28" t="s">
        <v>646</v>
      </c>
    </row>
    <row r="261" ht="22.5" customHeight="1">
      <c r="A261" s="9"/>
      <c r="B261" s="56"/>
      <c r="C261" s="13" t="str">
        <f>IFERROR(__xludf.DUMMYFUNCTION("IF(B261="""","""",LOWER(REGEXREPLACE(B261,""[^A-Za-z0-9]"",""""))&amp;""-""&amp;TEXT(COUNTIF($B$2:B261,B261),""000""))"),"")</f>
        <v/>
      </c>
      <c r="D261" s="57"/>
      <c r="E261" s="58"/>
      <c r="F261" s="59"/>
      <c r="G261" s="10"/>
      <c r="H261" s="55"/>
      <c r="I261" s="28"/>
      <c r="J261" s="28" t="s">
        <v>646</v>
      </c>
    </row>
    <row r="262" ht="22.5" customHeight="1">
      <c r="A262" s="9"/>
      <c r="B262" s="56"/>
      <c r="C262" s="13" t="str">
        <f>IFERROR(__xludf.DUMMYFUNCTION("IF(B262="""","""",LOWER(REGEXREPLACE(B262,""[^A-Za-z0-9]"",""""))&amp;""-""&amp;TEXT(COUNTIF($B$2:B262,B262),""000""))"),"")</f>
        <v/>
      </c>
      <c r="D262" s="57"/>
      <c r="E262" s="58"/>
      <c r="F262" s="59"/>
      <c r="G262" s="10"/>
      <c r="H262" s="55"/>
      <c r="I262" s="28"/>
      <c r="J262" s="28" t="s">
        <v>646</v>
      </c>
    </row>
    <row r="263" ht="22.5" customHeight="1">
      <c r="A263" s="9"/>
      <c r="B263" s="56"/>
      <c r="C263" s="13" t="str">
        <f>IFERROR(__xludf.DUMMYFUNCTION("IF(B263="""","""",LOWER(REGEXREPLACE(B263,""[^A-Za-z0-9]"",""""))&amp;""-""&amp;TEXT(COUNTIF($B$2:B263,B263),""000""))"),"")</f>
        <v/>
      </c>
      <c r="D263" s="57"/>
      <c r="E263" s="58"/>
      <c r="F263" s="59"/>
      <c r="G263" s="10"/>
      <c r="H263" s="55"/>
      <c r="I263" s="28"/>
      <c r="J263" s="28" t="s">
        <v>646</v>
      </c>
    </row>
    <row r="264" ht="22.5" customHeight="1">
      <c r="A264" s="9"/>
      <c r="B264" s="56"/>
      <c r="C264" s="13" t="str">
        <f>IFERROR(__xludf.DUMMYFUNCTION("IF(B264="""","""",LOWER(REGEXREPLACE(B264,""[^A-Za-z0-9]"",""""))&amp;""-""&amp;TEXT(COUNTIF($B$2:B264,B264),""000""))"),"")</f>
        <v/>
      </c>
      <c r="D264" s="57"/>
      <c r="E264" s="58"/>
      <c r="F264" s="59"/>
      <c r="G264" s="10"/>
      <c r="H264" s="55"/>
      <c r="I264" s="28"/>
      <c r="J264" s="28" t="s">
        <v>646</v>
      </c>
    </row>
    <row r="265" ht="22.5" customHeight="1">
      <c r="A265" s="9"/>
      <c r="B265" s="56"/>
      <c r="C265" s="13" t="str">
        <f>IFERROR(__xludf.DUMMYFUNCTION("IF(B265="""","""",LOWER(REGEXREPLACE(B265,""[^A-Za-z0-9]"",""""))&amp;""-""&amp;TEXT(COUNTIF($B$2:B265,B265),""000""))"),"")</f>
        <v/>
      </c>
      <c r="D265" s="57"/>
      <c r="E265" s="58"/>
      <c r="F265" s="59"/>
      <c r="G265" s="10"/>
      <c r="H265" s="55"/>
      <c r="I265" s="28"/>
      <c r="J265" s="28" t="s">
        <v>646</v>
      </c>
    </row>
    <row r="266" ht="22.5" customHeight="1">
      <c r="A266" s="9"/>
      <c r="B266" s="56"/>
      <c r="C266" s="13" t="str">
        <f>IFERROR(__xludf.DUMMYFUNCTION("IF(B266="""","""",LOWER(REGEXREPLACE(B266,""[^A-Za-z0-9]"",""""))&amp;""-""&amp;TEXT(COUNTIF($B$2:B266,B266),""000""))"),"")</f>
        <v/>
      </c>
      <c r="D266" s="57"/>
      <c r="E266" s="58"/>
      <c r="F266" s="59"/>
      <c r="G266" s="10"/>
      <c r="H266" s="55"/>
      <c r="I266" s="28"/>
      <c r="J266" s="28" t="s">
        <v>646</v>
      </c>
    </row>
    <row r="267" ht="22.5" customHeight="1">
      <c r="A267" s="9"/>
      <c r="B267" s="56"/>
      <c r="C267" s="13" t="str">
        <f>IFERROR(__xludf.DUMMYFUNCTION("IF(B267="""","""",LOWER(REGEXREPLACE(B267,""[^A-Za-z0-9]"",""""))&amp;""-""&amp;TEXT(COUNTIF($B$2:B267,B267),""000""))"),"")</f>
        <v/>
      </c>
      <c r="D267" s="57"/>
      <c r="E267" s="58"/>
      <c r="F267" s="59"/>
      <c r="G267" s="10"/>
      <c r="H267" s="55"/>
      <c r="I267" s="28"/>
      <c r="J267" s="28" t="s">
        <v>646</v>
      </c>
    </row>
    <row r="268" ht="22.5" customHeight="1">
      <c r="A268" s="9"/>
      <c r="B268" s="56"/>
      <c r="C268" s="13" t="str">
        <f>IFERROR(__xludf.DUMMYFUNCTION("IF(B268="""","""",LOWER(REGEXREPLACE(B268,""[^A-Za-z0-9]"",""""))&amp;""-""&amp;TEXT(COUNTIF($B$2:B268,B268),""000""))"),"")</f>
        <v/>
      </c>
      <c r="D268" s="57"/>
      <c r="E268" s="58"/>
      <c r="F268" s="59"/>
      <c r="G268" s="10"/>
      <c r="H268" s="55"/>
      <c r="I268" s="28"/>
      <c r="J268" s="28" t="s">
        <v>646</v>
      </c>
    </row>
    <row r="269" ht="22.5" customHeight="1">
      <c r="A269" s="9"/>
      <c r="B269" s="56"/>
      <c r="C269" s="13" t="str">
        <f>IFERROR(__xludf.DUMMYFUNCTION("IF(B269="""","""",LOWER(REGEXREPLACE(B269,""[^A-Za-z0-9]"",""""))&amp;""-""&amp;TEXT(COUNTIF($B$2:B269,B269),""000""))"),"")</f>
        <v/>
      </c>
      <c r="D269" s="57"/>
      <c r="E269" s="58"/>
      <c r="F269" s="59"/>
      <c r="G269" s="10"/>
      <c r="H269" s="55"/>
      <c r="I269" s="28"/>
      <c r="J269" s="28" t="s">
        <v>646</v>
      </c>
    </row>
    <row r="270" ht="22.5" customHeight="1">
      <c r="A270" s="9"/>
      <c r="B270" s="56"/>
      <c r="C270" s="13" t="str">
        <f>IFERROR(__xludf.DUMMYFUNCTION("IF(B270="""","""",LOWER(REGEXREPLACE(B270,""[^A-Za-z0-9]"",""""))&amp;""-""&amp;TEXT(COUNTIF($B$2:B270,B270),""000""))"),"")</f>
        <v/>
      </c>
      <c r="D270" s="57"/>
      <c r="E270" s="58"/>
      <c r="F270" s="59"/>
      <c r="G270" s="10"/>
      <c r="H270" s="55"/>
      <c r="I270" s="28"/>
      <c r="J270" s="28" t="s">
        <v>646</v>
      </c>
    </row>
    <row r="271" ht="22.5" customHeight="1">
      <c r="A271" s="9"/>
      <c r="B271" s="56"/>
      <c r="C271" s="13" t="str">
        <f>IFERROR(__xludf.DUMMYFUNCTION("IF(B271="""","""",LOWER(REGEXREPLACE(B271,""[^A-Za-z0-9]"",""""))&amp;""-""&amp;TEXT(COUNTIF($B$2:B271,B271),""000""))"),"")</f>
        <v/>
      </c>
      <c r="D271" s="57"/>
      <c r="E271" s="58"/>
      <c r="F271" s="59"/>
      <c r="G271" s="10"/>
      <c r="H271" s="55"/>
      <c r="I271" s="28"/>
      <c r="J271" s="28" t="s">
        <v>646</v>
      </c>
    </row>
    <row r="272" ht="22.5" customHeight="1">
      <c r="A272" s="9"/>
      <c r="B272" s="56"/>
      <c r="C272" s="13" t="str">
        <f>IFERROR(__xludf.DUMMYFUNCTION("IF(B272="""","""",LOWER(REGEXREPLACE(B272,""[^A-Za-z0-9]"",""""))&amp;""-""&amp;TEXT(COUNTIF($B$2:B272,B272),""000""))"),"")</f>
        <v/>
      </c>
      <c r="D272" s="57"/>
      <c r="E272" s="58"/>
      <c r="F272" s="59"/>
      <c r="G272" s="10"/>
      <c r="H272" s="55"/>
      <c r="I272" s="28"/>
      <c r="J272" s="28" t="s">
        <v>646</v>
      </c>
    </row>
    <row r="273" ht="22.5" customHeight="1">
      <c r="A273" s="9"/>
      <c r="B273" s="56"/>
      <c r="C273" s="13" t="str">
        <f>IFERROR(__xludf.DUMMYFUNCTION("IF(B273="""","""",LOWER(REGEXREPLACE(B273,""[^A-Za-z0-9]"",""""))&amp;""-""&amp;TEXT(COUNTIF($B$2:B273,B273),""000""))"),"")</f>
        <v/>
      </c>
      <c r="D273" s="57"/>
      <c r="E273" s="58"/>
      <c r="F273" s="59"/>
      <c r="G273" s="10"/>
      <c r="H273" s="55"/>
      <c r="I273" s="28"/>
      <c r="J273" s="28" t="s">
        <v>646</v>
      </c>
    </row>
    <row r="274" ht="22.5" customHeight="1">
      <c r="A274" s="9"/>
      <c r="B274" s="56"/>
      <c r="C274" s="13" t="str">
        <f>IFERROR(__xludf.DUMMYFUNCTION("IF(B274="""","""",LOWER(REGEXREPLACE(B274,""[^A-Za-z0-9]"",""""))&amp;""-""&amp;TEXT(COUNTIF($B$2:B274,B274),""000""))"),"")</f>
        <v/>
      </c>
      <c r="D274" s="57"/>
      <c r="E274" s="58"/>
      <c r="F274" s="59"/>
      <c r="G274" s="10"/>
      <c r="H274" s="55"/>
      <c r="I274" s="28"/>
      <c r="J274" s="28" t="s">
        <v>646</v>
      </c>
    </row>
    <row r="275" ht="22.5" customHeight="1">
      <c r="A275" s="9"/>
      <c r="B275" s="56"/>
      <c r="C275" s="13" t="str">
        <f>IFERROR(__xludf.DUMMYFUNCTION("IF(B275="""","""",LOWER(REGEXREPLACE(B275,""[^A-Za-z0-9]"",""""))&amp;""-""&amp;TEXT(COUNTIF($B$2:B275,B275),""000""))"),"")</f>
        <v/>
      </c>
      <c r="D275" s="57"/>
      <c r="E275" s="58"/>
      <c r="F275" s="59"/>
      <c r="G275" s="10"/>
      <c r="H275" s="55"/>
      <c r="I275" s="28"/>
      <c r="J275" s="28" t="s">
        <v>646</v>
      </c>
    </row>
    <row r="276" ht="22.5" customHeight="1">
      <c r="A276" s="9"/>
      <c r="B276" s="56"/>
      <c r="C276" s="13" t="str">
        <f>IFERROR(__xludf.DUMMYFUNCTION("IF(B276="""","""",LOWER(REGEXREPLACE(B276,""[^A-Za-z0-9]"",""""))&amp;""-""&amp;TEXT(COUNTIF($B$2:B276,B276),""000""))"),"")</f>
        <v/>
      </c>
      <c r="D276" s="57"/>
      <c r="E276" s="58"/>
      <c r="F276" s="59"/>
      <c r="G276" s="10"/>
      <c r="H276" s="55"/>
      <c r="I276" s="28"/>
      <c r="J276" s="28" t="s">
        <v>646</v>
      </c>
    </row>
    <row r="277" ht="22.5" customHeight="1">
      <c r="A277" s="9"/>
      <c r="B277" s="56"/>
      <c r="C277" s="13" t="str">
        <f>IFERROR(__xludf.DUMMYFUNCTION("IF(B277="""","""",LOWER(REGEXREPLACE(B277,""[^A-Za-z0-9]"",""""))&amp;""-""&amp;TEXT(COUNTIF($B$2:B277,B277),""000""))"),"")</f>
        <v/>
      </c>
      <c r="D277" s="57"/>
      <c r="E277" s="58"/>
      <c r="F277" s="59"/>
      <c r="G277" s="10"/>
      <c r="H277" s="55"/>
      <c r="I277" s="28"/>
      <c r="J277" s="28" t="s">
        <v>646</v>
      </c>
    </row>
    <row r="278" ht="22.5" customHeight="1">
      <c r="A278" s="9"/>
      <c r="B278" s="56"/>
      <c r="C278" s="13" t="str">
        <f>IFERROR(__xludf.DUMMYFUNCTION("IF(B278="""","""",LOWER(REGEXREPLACE(B278,""[^A-Za-z0-9]"",""""))&amp;""-""&amp;TEXT(COUNTIF($B$2:B278,B278),""000""))"),"")</f>
        <v/>
      </c>
      <c r="D278" s="57"/>
      <c r="E278" s="58"/>
      <c r="F278" s="59"/>
      <c r="G278" s="10"/>
      <c r="H278" s="55"/>
      <c r="I278" s="28"/>
      <c r="J278" s="28" t="s">
        <v>646</v>
      </c>
    </row>
    <row r="279" ht="22.5" customHeight="1">
      <c r="A279" s="9"/>
      <c r="B279" s="56"/>
      <c r="C279" s="13" t="str">
        <f>IFERROR(__xludf.DUMMYFUNCTION("IF(B279="""","""",LOWER(REGEXREPLACE(B279,""[^A-Za-z0-9]"",""""))&amp;""-""&amp;TEXT(COUNTIF($B$2:B279,B279),""000""))"),"")</f>
        <v/>
      </c>
      <c r="D279" s="57"/>
      <c r="E279" s="58"/>
      <c r="F279" s="59"/>
      <c r="G279" s="10"/>
      <c r="H279" s="55"/>
      <c r="I279" s="28"/>
      <c r="J279" s="28" t="s">
        <v>646</v>
      </c>
    </row>
    <row r="280" ht="22.5" customHeight="1">
      <c r="A280" s="9"/>
      <c r="B280" s="56"/>
      <c r="C280" s="13" t="str">
        <f>IFERROR(__xludf.DUMMYFUNCTION("IF(B280="""","""",LOWER(REGEXREPLACE(B280,""[^A-Za-z0-9]"",""""))&amp;""-""&amp;TEXT(COUNTIF($B$2:B280,B280),""000""))"),"")</f>
        <v/>
      </c>
      <c r="D280" s="57"/>
      <c r="E280" s="58"/>
      <c r="F280" s="59"/>
      <c r="G280" s="10"/>
      <c r="H280" s="55"/>
      <c r="I280" s="28"/>
      <c r="J280" s="28" t="s">
        <v>646</v>
      </c>
    </row>
    <row r="281" ht="22.5" customHeight="1">
      <c r="A281" s="9"/>
      <c r="B281" s="56"/>
      <c r="C281" s="13" t="str">
        <f>IFERROR(__xludf.DUMMYFUNCTION("IF(B281="""","""",LOWER(REGEXREPLACE(B281,""[^A-Za-z0-9]"",""""))&amp;""-""&amp;TEXT(COUNTIF($B$2:B281,B281),""000""))"),"")</f>
        <v/>
      </c>
      <c r="D281" s="57"/>
      <c r="E281" s="58"/>
      <c r="F281" s="59"/>
      <c r="G281" s="10"/>
      <c r="H281" s="55"/>
      <c r="I281" s="28"/>
      <c r="J281" s="28" t="s">
        <v>646</v>
      </c>
    </row>
    <row r="282" ht="22.5" customHeight="1">
      <c r="A282" s="9"/>
      <c r="B282" s="56"/>
      <c r="C282" s="13" t="str">
        <f>IFERROR(__xludf.DUMMYFUNCTION("IF(B282="""","""",LOWER(REGEXREPLACE(B282,""[^A-Za-z0-9]"",""""))&amp;""-""&amp;TEXT(COUNTIF($B$2:B282,B282),""000""))"),"")</f>
        <v/>
      </c>
      <c r="D282" s="57"/>
      <c r="E282" s="58"/>
      <c r="F282" s="59"/>
      <c r="G282" s="10"/>
      <c r="H282" s="55"/>
      <c r="I282" s="28"/>
      <c r="J282" s="28" t="s">
        <v>646</v>
      </c>
    </row>
    <row r="283" ht="22.5" customHeight="1">
      <c r="A283" s="9"/>
      <c r="B283" s="56"/>
      <c r="C283" s="13" t="str">
        <f>IFERROR(__xludf.DUMMYFUNCTION("IF(B283="""","""",LOWER(REGEXREPLACE(B283,""[^A-Za-z0-9]"",""""))&amp;""-""&amp;TEXT(COUNTIF($B$2:B283,B283),""000""))"),"")</f>
        <v/>
      </c>
      <c r="D283" s="57"/>
      <c r="E283" s="58"/>
      <c r="F283" s="59"/>
      <c r="G283" s="10"/>
      <c r="H283" s="55"/>
      <c r="I283" s="28"/>
      <c r="J283" s="28" t="s">
        <v>646</v>
      </c>
    </row>
    <row r="284" ht="22.5" customHeight="1">
      <c r="A284" s="9"/>
      <c r="B284" s="56"/>
      <c r="C284" s="13" t="str">
        <f>IFERROR(__xludf.DUMMYFUNCTION("IF(B284="""","""",LOWER(REGEXREPLACE(B284,""[^A-Za-z0-9]"",""""))&amp;""-""&amp;TEXT(COUNTIF($B$2:B284,B284),""000""))"),"")</f>
        <v/>
      </c>
      <c r="D284" s="57"/>
      <c r="E284" s="58"/>
      <c r="F284" s="59"/>
      <c r="G284" s="10"/>
      <c r="H284" s="55"/>
      <c r="I284" s="28"/>
      <c r="J284" s="28" t="s">
        <v>646</v>
      </c>
    </row>
    <row r="285" ht="22.5" customHeight="1">
      <c r="A285" s="9"/>
      <c r="B285" s="56"/>
      <c r="C285" s="13" t="str">
        <f>IFERROR(__xludf.DUMMYFUNCTION("IF(B285="""","""",LOWER(REGEXREPLACE(B285,""[^A-Za-z0-9]"",""""))&amp;""-""&amp;TEXT(COUNTIF($B$2:B285,B285),""000""))"),"")</f>
        <v/>
      </c>
      <c r="D285" s="57"/>
      <c r="E285" s="58"/>
      <c r="F285" s="59"/>
      <c r="G285" s="10"/>
      <c r="H285" s="55"/>
      <c r="I285" s="28"/>
      <c r="J285" s="28" t="s">
        <v>646</v>
      </c>
    </row>
    <row r="286" ht="22.5" customHeight="1">
      <c r="A286" s="9"/>
      <c r="B286" s="56"/>
      <c r="C286" s="13" t="str">
        <f>IFERROR(__xludf.DUMMYFUNCTION("IF(B286="""","""",LOWER(REGEXREPLACE(B286,""[^A-Za-z0-9]"",""""))&amp;""-""&amp;TEXT(COUNTIF($B$2:B286,B286),""000""))"),"")</f>
        <v/>
      </c>
      <c r="D286" s="57"/>
      <c r="E286" s="58"/>
      <c r="F286" s="59"/>
      <c r="G286" s="10"/>
      <c r="H286" s="55"/>
      <c r="I286" s="28"/>
      <c r="J286" s="28" t="s">
        <v>646</v>
      </c>
    </row>
    <row r="287" ht="22.5" customHeight="1">
      <c r="A287" s="9"/>
      <c r="B287" s="56"/>
      <c r="C287" s="13" t="str">
        <f>IFERROR(__xludf.DUMMYFUNCTION("IF(B287="""","""",LOWER(REGEXREPLACE(B287,""[^A-Za-z0-9]"",""""))&amp;""-""&amp;TEXT(COUNTIF($B$2:B287,B287),""000""))"),"")</f>
        <v/>
      </c>
      <c r="D287" s="57"/>
      <c r="E287" s="58"/>
      <c r="F287" s="59"/>
      <c r="G287" s="10"/>
      <c r="H287" s="55"/>
      <c r="I287" s="28"/>
      <c r="J287" s="28" t="s">
        <v>646</v>
      </c>
    </row>
    <row r="288" ht="22.5" customHeight="1">
      <c r="A288" s="9"/>
      <c r="B288" s="56"/>
      <c r="C288" s="13" t="str">
        <f>IFERROR(__xludf.DUMMYFUNCTION("IF(B288="""","""",LOWER(REGEXREPLACE(B288,""[^A-Za-z0-9]"",""""))&amp;""-""&amp;TEXT(COUNTIF($B$2:B288,B288),""000""))"),"")</f>
        <v/>
      </c>
      <c r="D288" s="57"/>
      <c r="E288" s="58"/>
      <c r="F288" s="59"/>
      <c r="G288" s="10"/>
      <c r="H288" s="55"/>
      <c r="I288" s="28"/>
      <c r="J288" s="28" t="s">
        <v>646</v>
      </c>
    </row>
    <row r="289" ht="22.5" customHeight="1">
      <c r="A289" s="9"/>
      <c r="B289" s="56"/>
      <c r="C289" s="13" t="str">
        <f>IFERROR(__xludf.DUMMYFUNCTION("IF(B289="""","""",LOWER(REGEXREPLACE(B289,""[^A-Za-z0-9]"",""""))&amp;""-""&amp;TEXT(COUNTIF($B$2:B289,B289),""000""))"),"")</f>
        <v/>
      </c>
      <c r="D289" s="57"/>
      <c r="E289" s="58"/>
      <c r="F289" s="59"/>
      <c r="G289" s="10"/>
      <c r="H289" s="55"/>
      <c r="I289" s="28"/>
      <c r="J289" s="28" t="s">
        <v>646</v>
      </c>
    </row>
    <row r="290" ht="22.5" customHeight="1">
      <c r="A290" s="9"/>
      <c r="B290" s="56"/>
      <c r="C290" s="13" t="str">
        <f>IFERROR(__xludf.DUMMYFUNCTION("IF(B290="""","""",LOWER(REGEXREPLACE(B290,""[^A-Za-z0-9]"",""""))&amp;""-""&amp;TEXT(COUNTIF($B$2:B290,B290),""000""))"),"")</f>
        <v/>
      </c>
      <c r="D290" s="57"/>
      <c r="E290" s="58"/>
      <c r="F290" s="59"/>
      <c r="G290" s="10"/>
      <c r="H290" s="55"/>
      <c r="I290" s="28"/>
      <c r="J290" s="28" t="s">
        <v>646</v>
      </c>
    </row>
    <row r="291" ht="22.5" customHeight="1">
      <c r="A291" s="9"/>
      <c r="B291" s="56"/>
      <c r="C291" s="13" t="str">
        <f>IFERROR(__xludf.DUMMYFUNCTION("IF(B291="""","""",LOWER(REGEXREPLACE(B291,""[^A-Za-z0-9]"",""""))&amp;""-""&amp;TEXT(COUNTIF($B$2:B291,B291),""000""))"),"")</f>
        <v/>
      </c>
      <c r="D291" s="57"/>
      <c r="E291" s="58"/>
      <c r="F291" s="59"/>
      <c r="G291" s="10"/>
      <c r="H291" s="55"/>
      <c r="I291" s="28"/>
      <c r="J291" s="28" t="s">
        <v>646</v>
      </c>
    </row>
    <row r="292" ht="22.5" customHeight="1">
      <c r="A292" s="9"/>
      <c r="B292" s="56"/>
      <c r="C292" s="13" t="str">
        <f>IFERROR(__xludf.DUMMYFUNCTION("IF(B292="""","""",LOWER(REGEXREPLACE(B292,""[^A-Za-z0-9]"",""""))&amp;""-""&amp;TEXT(COUNTIF($B$2:B292,B292),""000""))"),"")</f>
        <v/>
      </c>
      <c r="D292" s="57"/>
      <c r="E292" s="58"/>
      <c r="F292" s="59"/>
      <c r="G292" s="10"/>
      <c r="H292" s="55"/>
      <c r="I292" s="28"/>
      <c r="J292" s="28" t="s">
        <v>646</v>
      </c>
    </row>
    <row r="293" ht="22.5" customHeight="1">
      <c r="A293" s="9"/>
      <c r="B293" s="56"/>
      <c r="C293" s="13" t="str">
        <f>IFERROR(__xludf.DUMMYFUNCTION("IF(B293="""","""",LOWER(REGEXREPLACE(B293,""[^A-Za-z0-9]"",""""))&amp;""-""&amp;TEXT(COUNTIF($B$2:B293,B293),""000""))"),"")</f>
        <v/>
      </c>
      <c r="D293" s="57"/>
      <c r="E293" s="58"/>
      <c r="F293" s="59"/>
      <c r="G293" s="10"/>
      <c r="H293" s="55"/>
      <c r="I293" s="28"/>
      <c r="J293" s="28" t="s">
        <v>646</v>
      </c>
    </row>
    <row r="294" ht="22.5" customHeight="1">
      <c r="A294" s="9"/>
      <c r="B294" s="56"/>
      <c r="C294" s="13" t="str">
        <f>IFERROR(__xludf.DUMMYFUNCTION("IF(B294="""","""",LOWER(REGEXREPLACE(B294,""[^A-Za-z0-9]"",""""))&amp;""-""&amp;TEXT(COUNTIF($B$2:B294,B294),""000""))"),"")</f>
        <v/>
      </c>
      <c r="D294" s="57"/>
      <c r="E294" s="58"/>
      <c r="F294" s="59"/>
      <c r="G294" s="10"/>
      <c r="H294" s="55"/>
      <c r="I294" s="28"/>
      <c r="J294" s="28" t="s">
        <v>646</v>
      </c>
    </row>
    <row r="295" ht="22.5" customHeight="1">
      <c r="A295" s="9"/>
      <c r="B295" s="56"/>
      <c r="C295" s="13" t="str">
        <f>IFERROR(__xludf.DUMMYFUNCTION("IF(B295="""","""",LOWER(REGEXREPLACE(B295,""[^A-Za-z0-9]"",""""))&amp;""-""&amp;TEXT(COUNTIF($B$2:B295,B295),""000""))"),"")</f>
        <v/>
      </c>
      <c r="D295" s="57"/>
      <c r="E295" s="58"/>
      <c r="F295" s="59"/>
      <c r="G295" s="10"/>
      <c r="H295" s="55"/>
      <c r="I295" s="28"/>
      <c r="J295" s="28" t="s">
        <v>646</v>
      </c>
    </row>
    <row r="296" ht="22.5" customHeight="1">
      <c r="A296" s="9"/>
      <c r="B296" s="56"/>
      <c r="C296" s="13" t="str">
        <f>IFERROR(__xludf.DUMMYFUNCTION("IF(B296="""","""",LOWER(REGEXREPLACE(B296,""[^A-Za-z0-9]"",""""))&amp;""-""&amp;TEXT(COUNTIF($B$2:B296,B296),""000""))"),"")</f>
        <v/>
      </c>
      <c r="D296" s="57"/>
      <c r="E296" s="58"/>
      <c r="F296" s="59"/>
      <c r="G296" s="10"/>
      <c r="H296" s="55"/>
      <c r="I296" s="28"/>
      <c r="J296" s="28" t="s">
        <v>646</v>
      </c>
    </row>
    <row r="297" ht="22.5" customHeight="1">
      <c r="A297" s="9"/>
      <c r="B297" s="56"/>
      <c r="C297" s="13" t="str">
        <f>IFERROR(__xludf.DUMMYFUNCTION("IF(B297="""","""",LOWER(REGEXREPLACE(B297,""[^A-Za-z0-9]"",""""))&amp;""-""&amp;TEXT(COUNTIF($B$2:B297,B297),""000""))"),"")</f>
        <v/>
      </c>
      <c r="D297" s="57"/>
      <c r="E297" s="58"/>
      <c r="F297" s="59"/>
      <c r="G297" s="10"/>
      <c r="H297" s="55"/>
      <c r="I297" s="28"/>
      <c r="J297" s="28" t="s">
        <v>646</v>
      </c>
    </row>
    <row r="298" ht="22.5" customHeight="1">
      <c r="A298" s="9"/>
      <c r="B298" s="56"/>
      <c r="C298" s="13" t="str">
        <f>IFERROR(__xludf.DUMMYFUNCTION("IF(B298="""","""",LOWER(REGEXREPLACE(B298,""[^A-Za-z0-9]"",""""))&amp;""-""&amp;TEXT(COUNTIF($B$2:B298,B298),""000""))"),"")</f>
        <v/>
      </c>
      <c r="D298" s="57"/>
      <c r="E298" s="58"/>
      <c r="F298" s="59"/>
      <c r="G298" s="10"/>
      <c r="H298" s="55"/>
      <c r="I298" s="28"/>
      <c r="J298" s="28" t="s">
        <v>646</v>
      </c>
    </row>
    <row r="299" ht="22.5" customHeight="1">
      <c r="A299" s="9"/>
      <c r="B299" s="56"/>
      <c r="C299" s="13" t="str">
        <f>IFERROR(__xludf.DUMMYFUNCTION("IF(B299="""","""",LOWER(REGEXREPLACE(B299,""[^A-Za-z0-9]"",""""))&amp;""-""&amp;TEXT(COUNTIF($B$2:B299,B299),""000""))"),"")</f>
        <v/>
      </c>
      <c r="D299" s="57"/>
      <c r="E299" s="58"/>
      <c r="F299" s="59"/>
      <c r="G299" s="10"/>
      <c r="H299" s="55"/>
      <c r="I299" s="28"/>
      <c r="J299" s="28" t="s">
        <v>646</v>
      </c>
    </row>
    <row r="300" ht="22.5" customHeight="1">
      <c r="A300" s="9"/>
      <c r="B300" s="56"/>
      <c r="C300" s="13" t="str">
        <f>IFERROR(__xludf.DUMMYFUNCTION("IF(B300="""","""",LOWER(REGEXREPLACE(B300,""[^A-Za-z0-9]"",""""))&amp;""-""&amp;TEXT(COUNTIF($B$2:B300,B300),""000""))"),"")</f>
        <v/>
      </c>
      <c r="D300" s="57"/>
      <c r="E300" s="58"/>
      <c r="F300" s="59"/>
      <c r="G300" s="10"/>
      <c r="H300" s="55"/>
      <c r="I300" s="28"/>
      <c r="J300" s="28" t="s">
        <v>646</v>
      </c>
    </row>
    <row r="301" ht="22.5" customHeight="1">
      <c r="A301" s="9"/>
      <c r="B301" s="56"/>
      <c r="C301" s="13" t="str">
        <f>IFERROR(__xludf.DUMMYFUNCTION("IF(B301="""","""",LOWER(REGEXREPLACE(B301,""[^A-Za-z0-9]"",""""))&amp;""-""&amp;TEXT(COUNTIF($B$2:B301,B301),""000""))"),"")</f>
        <v/>
      </c>
      <c r="D301" s="57"/>
      <c r="E301" s="58"/>
      <c r="F301" s="59"/>
      <c r="G301" s="10"/>
      <c r="H301" s="55"/>
      <c r="I301" s="28"/>
      <c r="J301" s="28" t="s">
        <v>646</v>
      </c>
    </row>
    <row r="302" ht="22.5" customHeight="1">
      <c r="A302" s="9"/>
      <c r="B302" s="56"/>
      <c r="C302" s="13" t="str">
        <f>IFERROR(__xludf.DUMMYFUNCTION("IF(B302="""","""",LOWER(REGEXREPLACE(B302,""[^A-Za-z0-9]"",""""))&amp;""-""&amp;TEXT(COUNTIF($B$2:B302,B302),""000""))"),"")</f>
        <v/>
      </c>
      <c r="D302" s="57"/>
      <c r="E302" s="58"/>
      <c r="F302" s="59"/>
      <c r="G302" s="10"/>
      <c r="H302" s="55"/>
      <c r="I302" s="28"/>
      <c r="J302" s="28" t="s">
        <v>646</v>
      </c>
    </row>
    <row r="303" ht="22.5" customHeight="1">
      <c r="A303" s="9"/>
      <c r="B303" s="56"/>
      <c r="C303" s="13" t="str">
        <f>IFERROR(__xludf.DUMMYFUNCTION("IF(B303="""","""",LOWER(REGEXREPLACE(B303,""[^A-Za-z0-9]"",""""))&amp;""-""&amp;TEXT(COUNTIF($B$2:B303,B303),""000""))"),"")</f>
        <v/>
      </c>
      <c r="D303" s="57"/>
      <c r="E303" s="58"/>
      <c r="F303" s="59"/>
      <c r="G303" s="10"/>
      <c r="H303" s="55"/>
      <c r="I303" s="28"/>
      <c r="J303" s="28" t="s">
        <v>646</v>
      </c>
    </row>
    <row r="304" ht="22.5" customHeight="1">
      <c r="A304" s="9"/>
      <c r="B304" s="56"/>
      <c r="C304" s="13" t="str">
        <f>IFERROR(__xludf.DUMMYFUNCTION("IF(B304="""","""",LOWER(REGEXREPLACE(B304,""[^A-Za-z0-9]"",""""))&amp;""-""&amp;TEXT(COUNTIF($B$2:B304,B304),""000""))"),"")</f>
        <v/>
      </c>
      <c r="D304" s="57"/>
      <c r="E304" s="58"/>
      <c r="F304" s="59"/>
      <c r="G304" s="10"/>
      <c r="H304" s="55"/>
      <c r="I304" s="28"/>
      <c r="J304" s="28" t="s">
        <v>646</v>
      </c>
    </row>
    <row r="305" ht="22.5" customHeight="1">
      <c r="A305" s="9"/>
      <c r="B305" s="56"/>
      <c r="C305" s="13" t="str">
        <f>IFERROR(__xludf.DUMMYFUNCTION("IF(B305="""","""",LOWER(REGEXREPLACE(B305,""[^A-Za-z0-9]"",""""))&amp;""-""&amp;TEXT(COUNTIF($B$2:B305,B305),""000""))"),"")</f>
        <v/>
      </c>
      <c r="D305" s="57"/>
      <c r="E305" s="58"/>
      <c r="F305" s="59"/>
      <c r="G305" s="10"/>
      <c r="H305" s="55"/>
      <c r="I305" s="28"/>
      <c r="J305" s="28" t="s">
        <v>646</v>
      </c>
    </row>
    <row r="306" ht="22.5" customHeight="1">
      <c r="A306" s="9"/>
      <c r="B306" s="56"/>
      <c r="C306" s="13" t="str">
        <f>IFERROR(__xludf.DUMMYFUNCTION("IF(B306="""","""",LOWER(REGEXREPLACE(B306,""[^A-Za-z0-9]"",""""))&amp;""-""&amp;TEXT(COUNTIF($B$2:B306,B306),""000""))"),"")</f>
        <v/>
      </c>
      <c r="D306" s="57"/>
      <c r="E306" s="58"/>
      <c r="F306" s="59"/>
      <c r="G306" s="10"/>
      <c r="H306" s="55"/>
      <c r="I306" s="28"/>
      <c r="J306" s="28" t="s">
        <v>646</v>
      </c>
    </row>
    <row r="307" ht="22.5" customHeight="1">
      <c r="A307" s="9"/>
      <c r="B307" s="56"/>
      <c r="C307" s="13" t="str">
        <f>IFERROR(__xludf.DUMMYFUNCTION("IF(B307="""","""",LOWER(REGEXREPLACE(B307,""[^A-Za-z0-9]"",""""))&amp;""-""&amp;TEXT(COUNTIF($B$2:B307,B307),""000""))"),"")</f>
        <v/>
      </c>
      <c r="D307" s="57"/>
      <c r="E307" s="58"/>
      <c r="F307" s="59"/>
      <c r="G307" s="10"/>
      <c r="H307" s="55"/>
      <c r="I307" s="28"/>
      <c r="J307" s="28" t="s">
        <v>646</v>
      </c>
    </row>
    <row r="308" ht="22.5" customHeight="1">
      <c r="A308" s="9"/>
      <c r="B308" s="56"/>
      <c r="C308" s="13" t="str">
        <f>IFERROR(__xludf.DUMMYFUNCTION("IF(B308="""","""",LOWER(REGEXREPLACE(B308,""[^A-Za-z0-9]"",""""))&amp;""-""&amp;TEXT(COUNTIF($B$2:B308,B308),""000""))"),"")</f>
        <v/>
      </c>
      <c r="D308" s="57"/>
      <c r="E308" s="58"/>
      <c r="F308" s="59"/>
      <c r="G308" s="10"/>
      <c r="H308" s="55"/>
      <c r="I308" s="28"/>
      <c r="J308" s="28" t="s">
        <v>646</v>
      </c>
    </row>
    <row r="309" ht="22.5" customHeight="1">
      <c r="A309" s="9"/>
      <c r="B309" s="56"/>
      <c r="C309" s="13" t="str">
        <f>IFERROR(__xludf.DUMMYFUNCTION("IF(B309="""","""",LOWER(REGEXREPLACE(B309,""[^A-Za-z0-9]"",""""))&amp;""-""&amp;TEXT(COUNTIF($B$2:B309,B309),""000""))"),"")</f>
        <v/>
      </c>
      <c r="D309" s="57"/>
      <c r="E309" s="58"/>
      <c r="F309" s="59"/>
      <c r="G309" s="10"/>
      <c r="H309" s="55"/>
      <c r="I309" s="28"/>
      <c r="J309" s="28" t="s">
        <v>646</v>
      </c>
    </row>
    <row r="310" ht="22.5" customHeight="1">
      <c r="A310" s="9"/>
      <c r="B310" s="56"/>
      <c r="C310" s="13" t="str">
        <f>IFERROR(__xludf.DUMMYFUNCTION("IF(B310="""","""",LOWER(REGEXREPLACE(B310,""[^A-Za-z0-9]"",""""))&amp;""-""&amp;TEXT(COUNTIF($B$2:B310,B310),""000""))"),"")</f>
        <v/>
      </c>
      <c r="D310" s="57"/>
      <c r="E310" s="58"/>
      <c r="F310" s="59"/>
      <c r="G310" s="10"/>
      <c r="H310" s="55"/>
      <c r="I310" s="28"/>
      <c r="J310" s="28" t="s">
        <v>646</v>
      </c>
    </row>
    <row r="311" ht="22.5" customHeight="1">
      <c r="A311" s="9"/>
      <c r="B311" s="56"/>
      <c r="C311" s="13" t="str">
        <f>IFERROR(__xludf.DUMMYFUNCTION("IF(B311="""","""",LOWER(REGEXREPLACE(B311,""[^A-Za-z0-9]"",""""))&amp;""-""&amp;TEXT(COUNTIF($B$2:B311,B311),""000""))"),"")</f>
        <v/>
      </c>
      <c r="D311" s="57"/>
      <c r="E311" s="58"/>
      <c r="F311" s="59"/>
      <c r="G311" s="10"/>
      <c r="H311" s="55"/>
      <c r="I311" s="28"/>
      <c r="J311" s="28" t="s">
        <v>646</v>
      </c>
    </row>
    <row r="312" ht="22.5" customHeight="1">
      <c r="A312" s="9"/>
      <c r="B312" s="56"/>
      <c r="C312" s="13" t="str">
        <f>IFERROR(__xludf.DUMMYFUNCTION("IF(B312="""","""",LOWER(REGEXREPLACE(B312,""[^A-Za-z0-9]"",""""))&amp;""-""&amp;TEXT(COUNTIF($B$2:B312,B312),""000""))"),"")</f>
        <v/>
      </c>
      <c r="D312" s="57"/>
      <c r="E312" s="58"/>
      <c r="F312" s="59"/>
      <c r="G312" s="10"/>
      <c r="H312" s="55"/>
      <c r="I312" s="28"/>
      <c r="J312" s="28" t="s">
        <v>646</v>
      </c>
    </row>
    <row r="313" ht="22.5" customHeight="1">
      <c r="A313" s="9"/>
      <c r="B313" s="56"/>
      <c r="C313" s="13" t="str">
        <f>IFERROR(__xludf.DUMMYFUNCTION("IF(B313="""","""",LOWER(REGEXREPLACE(B313,""[^A-Za-z0-9]"",""""))&amp;""-""&amp;TEXT(COUNTIF($B$2:B313,B313),""000""))"),"")</f>
        <v/>
      </c>
      <c r="D313" s="57"/>
      <c r="E313" s="58"/>
      <c r="F313" s="59"/>
      <c r="G313" s="10"/>
      <c r="H313" s="55"/>
      <c r="I313" s="28"/>
      <c r="J313" s="28" t="s">
        <v>646</v>
      </c>
    </row>
    <row r="314" ht="22.5" customHeight="1">
      <c r="A314" s="9"/>
      <c r="B314" s="56"/>
      <c r="C314" s="13" t="str">
        <f>IFERROR(__xludf.DUMMYFUNCTION("IF(B314="""","""",LOWER(REGEXREPLACE(B314,""[^A-Za-z0-9]"",""""))&amp;""-""&amp;TEXT(COUNTIF($B$2:B314,B314),""000""))"),"")</f>
        <v/>
      </c>
      <c r="D314" s="57"/>
      <c r="E314" s="58"/>
      <c r="F314" s="59"/>
      <c r="G314" s="10"/>
      <c r="H314" s="55"/>
      <c r="I314" s="28"/>
      <c r="J314" s="28" t="s">
        <v>646</v>
      </c>
    </row>
    <row r="315" ht="22.5" customHeight="1">
      <c r="A315" s="9"/>
      <c r="B315" s="56"/>
      <c r="C315" s="13" t="str">
        <f>IFERROR(__xludf.DUMMYFUNCTION("IF(B315="""","""",LOWER(REGEXREPLACE(B315,""[^A-Za-z0-9]"",""""))&amp;""-""&amp;TEXT(COUNTIF($B$2:B315,B315),""000""))"),"")</f>
        <v/>
      </c>
      <c r="D315" s="57"/>
      <c r="E315" s="58"/>
      <c r="F315" s="59"/>
      <c r="G315" s="10"/>
      <c r="H315" s="55"/>
      <c r="I315" s="28"/>
      <c r="J315" s="28" t="s">
        <v>646</v>
      </c>
    </row>
    <row r="316" ht="22.5" customHeight="1">
      <c r="A316" s="9"/>
      <c r="B316" s="56"/>
      <c r="C316" s="13" t="str">
        <f>IFERROR(__xludf.DUMMYFUNCTION("IF(B316="""","""",LOWER(REGEXREPLACE(B316,""[^A-Za-z0-9]"",""""))&amp;""-""&amp;TEXT(COUNTIF($B$2:B316,B316),""000""))"),"")</f>
        <v/>
      </c>
      <c r="D316" s="57"/>
      <c r="E316" s="58"/>
      <c r="F316" s="59"/>
      <c r="G316" s="10"/>
      <c r="H316" s="55"/>
      <c r="I316" s="28"/>
      <c r="J316" s="28" t="s">
        <v>646</v>
      </c>
    </row>
    <row r="317" ht="22.5" customHeight="1">
      <c r="A317" s="9"/>
      <c r="B317" s="56"/>
      <c r="C317" s="13" t="str">
        <f>IFERROR(__xludf.DUMMYFUNCTION("IF(B317="""","""",LOWER(REGEXREPLACE(B317,""[^A-Za-z0-9]"",""""))&amp;""-""&amp;TEXT(COUNTIF($B$2:B317,B317),""000""))"),"")</f>
        <v/>
      </c>
      <c r="D317" s="57"/>
      <c r="E317" s="58"/>
      <c r="F317" s="59"/>
      <c r="G317" s="10"/>
      <c r="H317" s="55"/>
      <c r="I317" s="28"/>
      <c r="J317" s="28" t="s">
        <v>646</v>
      </c>
    </row>
    <row r="318" ht="22.5" customHeight="1">
      <c r="A318" s="9"/>
      <c r="B318" s="56"/>
      <c r="C318" s="13" t="str">
        <f>IFERROR(__xludf.DUMMYFUNCTION("IF(B318="""","""",LOWER(REGEXREPLACE(B318,""[^A-Za-z0-9]"",""""))&amp;""-""&amp;TEXT(COUNTIF($B$2:B318,B318),""000""))"),"")</f>
        <v/>
      </c>
      <c r="D318" s="57"/>
      <c r="E318" s="58"/>
      <c r="F318" s="59"/>
      <c r="G318" s="10"/>
      <c r="H318" s="55"/>
      <c r="I318" s="28"/>
      <c r="J318" s="28" t="s">
        <v>646</v>
      </c>
    </row>
    <row r="319" ht="22.5" customHeight="1">
      <c r="A319" s="9"/>
      <c r="B319" s="56"/>
      <c r="C319" s="13" t="str">
        <f>IFERROR(__xludf.DUMMYFUNCTION("IF(B319="""","""",LOWER(REGEXREPLACE(B319,""[^A-Za-z0-9]"",""""))&amp;""-""&amp;TEXT(COUNTIF($B$2:B319,B319),""000""))"),"")</f>
        <v/>
      </c>
      <c r="D319" s="57"/>
      <c r="E319" s="58"/>
      <c r="F319" s="59"/>
      <c r="G319" s="10"/>
      <c r="H319" s="55"/>
      <c r="I319" s="28"/>
      <c r="J319" s="28" t="s">
        <v>646</v>
      </c>
    </row>
    <row r="320" ht="22.5" customHeight="1">
      <c r="A320" s="9"/>
      <c r="B320" s="56"/>
      <c r="C320" s="13" t="str">
        <f>IFERROR(__xludf.DUMMYFUNCTION("IF(B320="""","""",LOWER(REGEXREPLACE(B320,""[^A-Za-z0-9]"",""""))&amp;""-""&amp;TEXT(COUNTIF($B$2:B320,B320),""000""))"),"")</f>
        <v/>
      </c>
      <c r="D320" s="57"/>
      <c r="E320" s="58"/>
      <c r="F320" s="59"/>
      <c r="G320" s="10"/>
      <c r="H320" s="55"/>
      <c r="I320" s="28"/>
      <c r="J320" s="28" t="s">
        <v>646</v>
      </c>
    </row>
    <row r="321" ht="22.5" customHeight="1">
      <c r="A321" s="9"/>
      <c r="B321" s="56"/>
      <c r="C321" s="13" t="str">
        <f>IFERROR(__xludf.DUMMYFUNCTION("IF(B321="""","""",LOWER(REGEXREPLACE(B321,""[^A-Za-z0-9]"",""""))&amp;""-""&amp;TEXT(COUNTIF($B$2:B321,B321),""000""))"),"")</f>
        <v/>
      </c>
      <c r="D321" s="57"/>
      <c r="E321" s="58"/>
      <c r="F321" s="59"/>
      <c r="G321" s="10"/>
      <c r="H321" s="55"/>
      <c r="I321" s="28"/>
      <c r="J321" s="28" t="s">
        <v>646</v>
      </c>
    </row>
    <row r="322" ht="22.5" customHeight="1">
      <c r="A322" s="9"/>
      <c r="B322" s="56"/>
      <c r="C322" s="13" t="str">
        <f>IFERROR(__xludf.DUMMYFUNCTION("IF(B322="""","""",LOWER(REGEXREPLACE(B322,""[^A-Za-z0-9]"",""""))&amp;""-""&amp;TEXT(COUNTIF($B$2:B322,B322),""000""))"),"")</f>
        <v/>
      </c>
      <c r="D322" s="57"/>
      <c r="E322" s="58"/>
      <c r="F322" s="59"/>
      <c r="G322" s="10"/>
      <c r="H322" s="55"/>
      <c r="I322" s="28"/>
      <c r="J322" s="28" t="s">
        <v>646</v>
      </c>
    </row>
    <row r="323" ht="22.5" customHeight="1">
      <c r="A323" s="9"/>
      <c r="B323" s="56"/>
      <c r="C323" s="13" t="str">
        <f>IFERROR(__xludf.DUMMYFUNCTION("IF(B323="""","""",LOWER(REGEXREPLACE(B323,""[^A-Za-z0-9]"",""""))&amp;""-""&amp;TEXT(COUNTIF($B$2:B323,B323),""000""))"),"")</f>
        <v/>
      </c>
      <c r="D323" s="57"/>
      <c r="E323" s="58"/>
      <c r="F323" s="59"/>
      <c r="G323" s="10"/>
      <c r="H323" s="55"/>
      <c r="I323" s="28"/>
      <c r="J323" s="28" t="s">
        <v>646</v>
      </c>
    </row>
    <row r="324" ht="22.5" customHeight="1">
      <c r="A324" s="9"/>
      <c r="B324" s="56"/>
      <c r="C324" s="13" t="str">
        <f>IFERROR(__xludf.DUMMYFUNCTION("IF(B324="""","""",LOWER(REGEXREPLACE(B324,""[^A-Za-z0-9]"",""""))&amp;""-""&amp;TEXT(COUNTIF($B$2:B324,B324),""000""))"),"")</f>
        <v/>
      </c>
      <c r="D324" s="57"/>
      <c r="E324" s="58"/>
      <c r="F324" s="59"/>
      <c r="G324" s="10"/>
      <c r="H324" s="55"/>
      <c r="I324" s="28"/>
      <c r="J324" s="28" t="s">
        <v>646</v>
      </c>
    </row>
    <row r="325" ht="22.5" customHeight="1">
      <c r="A325" s="9"/>
      <c r="B325" s="56"/>
      <c r="C325" s="13" t="str">
        <f>IFERROR(__xludf.DUMMYFUNCTION("IF(B325="""","""",LOWER(REGEXREPLACE(B325,""[^A-Za-z0-9]"",""""))&amp;""-""&amp;TEXT(COUNTIF($B$2:B325,B325),""000""))"),"")</f>
        <v/>
      </c>
      <c r="D325" s="57"/>
      <c r="E325" s="58"/>
      <c r="F325" s="59"/>
      <c r="G325" s="10"/>
      <c r="H325" s="55"/>
      <c r="I325" s="28"/>
      <c r="J325" s="28" t="s">
        <v>646</v>
      </c>
    </row>
    <row r="326" ht="22.5" customHeight="1">
      <c r="A326" s="9"/>
      <c r="B326" s="56"/>
      <c r="C326" s="13" t="str">
        <f>IFERROR(__xludf.DUMMYFUNCTION("IF(B326="""","""",LOWER(REGEXREPLACE(B326,""[^A-Za-z0-9]"",""""))&amp;""-""&amp;TEXT(COUNTIF($B$2:B326,B326),""000""))"),"")</f>
        <v/>
      </c>
      <c r="D326" s="57"/>
      <c r="E326" s="58"/>
      <c r="F326" s="59"/>
      <c r="G326" s="10"/>
      <c r="H326" s="55"/>
      <c r="I326" s="28"/>
      <c r="J326" s="28" t="s">
        <v>646</v>
      </c>
    </row>
    <row r="327" ht="22.5" customHeight="1">
      <c r="A327" s="9"/>
      <c r="B327" s="56"/>
      <c r="C327" s="13" t="str">
        <f>IFERROR(__xludf.DUMMYFUNCTION("IF(B327="""","""",LOWER(REGEXREPLACE(B327,""[^A-Za-z0-9]"",""""))&amp;""-""&amp;TEXT(COUNTIF($B$2:B327,B327),""000""))"),"")</f>
        <v/>
      </c>
      <c r="D327" s="57"/>
      <c r="E327" s="58"/>
      <c r="F327" s="59"/>
      <c r="G327" s="10"/>
      <c r="H327" s="55"/>
      <c r="I327" s="28"/>
      <c r="J327" s="28" t="s">
        <v>646</v>
      </c>
    </row>
    <row r="328" ht="22.5" customHeight="1">
      <c r="A328" s="9"/>
      <c r="B328" s="56"/>
      <c r="C328" s="13" t="str">
        <f>IFERROR(__xludf.DUMMYFUNCTION("IF(B328="""","""",LOWER(REGEXREPLACE(B328,""[^A-Za-z0-9]"",""""))&amp;""-""&amp;TEXT(COUNTIF($B$2:B328,B328),""000""))"),"")</f>
        <v/>
      </c>
      <c r="D328" s="57"/>
      <c r="E328" s="58"/>
      <c r="F328" s="59"/>
      <c r="G328" s="10"/>
      <c r="H328" s="55"/>
      <c r="I328" s="28"/>
      <c r="J328" s="28" t="s">
        <v>646</v>
      </c>
    </row>
    <row r="329" ht="22.5" customHeight="1">
      <c r="A329" s="9"/>
      <c r="B329" s="56"/>
      <c r="C329" s="13" t="str">
        <f>IFERROR(__xludf.DUMMYFUNCTION("IF(B329="""","""",LOWER(REGEXREPLACE(B329,""[^A-Za-z0-9]"",""""))&amp;""-""&amp;TEXT(COUNTIF($B$2:B329,B329),""000""))"),"")</f>
        <v/>
      </c>
      <c r="D329" s="57"/>
      <c r="E329" s="58"/>
      <c r="F329" s="59"/>
      <c r="G329" s="10"/>
      <c r="H329" s="55"/>
      <c r="I329" s="28"/>
      <c r="J329" s="28" t="s">
        <v>646</v>
      </c>
    </row>
    <row r="330" ht="22.5" customHeight="1">
      <c r="A330" s="9"/>
      <c r="B330" s="56"/>
      <c r="C330" s="13" t="str">
        <f>IFERROR(__xludf.DUMMYFUNCTION("IF(B330="""","""",LOWER(REGEXREPLACE(B330,""[^A-Za-z0-9]"",""""))&amp;""-""&amp;TEXT(COUNTIF($B$2:B330,B330),""000""))"),"")</f>
        <v/>
      </c>
      <c r="D330" s="57"/>
      <c r="E330" s="58"/>
      <c r="F330" s="59"/>
      <c r="G330" s="10"/>
      <c r="H330" s="55"/>
      <c r="I330" s="28"/>
      <c r="J330" s="28" t="s">
        <v>646</v>
      </c>
    </row>
    <row r="331" ht="22.5" customHeight="1">
      <c r="A331" s="9"/>
      <c r="B331" s="56"/>
      <c r="C331" s="13" t="str">
        <f>IFERROR(__xludf.DUMMYFUNCTION("IF(B331="""","""",LOWER(REGEXREPLACE(B331,""[^A-Za-z0-9]"",""""))&amp;""-""&amp;TEXT(COUNTIF($B$2:B331,B331),""000""))"),"")</f>
        <v/>
      </c>
      <c r="D331" s="57"/>
      <c r="E331" s="58"/>
      <c r="F331" s="59"/>
      <c r="G331" s="10"/>
      <c r="H331" s="55"/>
      <c r="I331" s="28"/>
      <c r="J331" s="28" t="s">
        <v>646</v>
      </c>
    </row>
    <row r="332" ht="22.5" customHeight="1">
      <c r="A332" s="9"/>
      <c r="B332" s="56"/>
      <c r="C332" s="13" t="str">
        <f>IFERROR(__xludf.DUMMYFUNCTION("IF(B332="""","""",LOWER(REGEXREPLACE(B332,""[^A-Za-z0-9]"",""""))&amp;""-""&amp;TEXT(COUNTIF($B$2:B332,B332),""000""))"),"")</f>
        <v/>
      </c>
      <c r="D332" s="57"/>
      <c r="E332" s="58"/>
      <c r="F332" s="59"/>
      <c r="G332" s="10"/>
      <c r="H332" s="55"/>
      <c r="I332" s="28"/>
      <c r="J332" s="28" t="s">
        <v>646</v>
      </c>
    </row>
    <row r="333" ht="22.5" customHeight="1">
      <c r="A333" s="9"/>
      <c r="B333" s="56"/>
      <c r="C333" s="13" t="str">
        <f>IFERROR(__xludf.DUMMYFUNCTION("IF(B333="""","""",LOWER(REGEXREPLACE(B333,""[^A-Za-z0-9]"",""""))&amp;""-""&amp;TEXT(COUNTIF($B$2:B333,B333),""000""))"),"")</f>
        <v/>
      </c>
      <c r="D333" s="57"/>
      <c r="E333" s="58"/>
      <c r="F333" s="59"/>
      <c r="G333" s="10"/>
      <c r="H333" s="55"/>
      <c r="I333" s="28"/>
      <c r="J333" s="28" t="s">
        <v>646</v>
      </c>
    </row>
    <row r="334" ht="22.5" customHeight="1">
      <c r="A334" s="9"/>
      <c r="B334" s="56"/>
      <c r="C334" s="13" t="str">
        <f>IFERROR(__xludf.DUMMYFUNCTION("IF(B334="""","""",LOWER(REGEXREPLACE(B334,""[^A-Za-z0-9]"",""""))&amp;""-""&amp;TEXT(COUNTIF($B$2:B334,B334),""000""))"),"")</f>
        <v/>
      </c>
      <c r="D334" s="57"/>
      <c r="E334" s="58"/>
      <c r="F334" s="59"/>
      <c r="G334" s="10"/>
      <c r="H334" s="55"/>
      <c r="I334" s="28"/>
      <c r="J334" s="28" t="s">
        <v>646</v>
      </c>
    </row>
    <row r="335" ht="22.5" customHeight="1">
      <c r="A335" s="9"/>
      <c r="B335" s="56"/>
      <c r="C335" s="13" t="str">
        <f>IFERROR(__xludf.DUMMYFUNCTION("IF(B335="""","""",LOWER(REGEXREPLACE(B335,""[^A-Za-z0-9]"",""""))&amp;""-""&amp;TEXT(COUNTIF($B$2:B335,B335),""000""))"),"")</f>
        <v/>
      </c>
      <c r="D335" s="57"/>
      <c r="E335" s="58"/>
      <c r="F335" s="59"/>
      <c r="G335" s="10"/>
      <c r="H335" s="55"/>
      <c r="I335" s="28"/>
      <c r="J335" s="28" t="s">
        <v>646</v>
      </c>
    </row>
    <row r="336" ht="22.5" customHeight="1">
      <c r="A336" s="9"/>
      <c r="B336" s="56"/>
      <c r="C336" s="13" t="str">
        <f>IFERROR(__xludf.DUMMYFUNCTION("IF(B336="""","""",LOWER(REGEXREPLACE(B336,""[^A-Za-z0-9]"",""""))&amp;""-""&amp;TEXT(COUNTIF($B$2:B336,B336),""000""))"),"")</f>
        <v/>
      </c>
      <c r="D336" s="57"/>
      <c r="E336" s="58"/>
      <c r="F336" s="59"/>
      <c r="G336" s="10"/>
      <c r="H336" s="55"/>
      <c r="I336" s="28"/>
      <c r="J336" s="28" t="s">
        <v>646</v>
      </c>
    </row>
    <row r="337" ht="22.5" customHeight="1">
      <c r="A337" s="9"/>
      <c r="B337" s="56"/>
      <c r="C337" s="13" t="str">
        <f>IFERROR(__xludf.DUMMYFUNCTION("IF(B337="""","""",LOWER(REGEXREPLACE(B337,""[^A-Za-z0-9]"",""""))&amp;""-""&amp;TEXT(COUNTIF($B$2:B337,B337),""000""))"),"")</f>
        <v/>
      </c>
      <c r="D337" s="57"/>
      <c r="E337" s="58"/>
      <c r="F337" s="59"/>
      <c r="G337" s="10"/>
      <c r="H337" s="55"/>
      <c r="I337" s="28"/>
      <c r="J337" s="28" t="s">
        <v>646</v>
      </c>
    </row>
    <row r="338" ht="22.5" customHeight="1">
      <c r="A338" s="9"/>
      <c r="B338" s="56"/>
      <c r="C338" s="13" t="str">
        <f>IFERROR(__xludf.DUMMYFUNCTION("IF(B338="""","""",LOWER(REGEXREPLACE(B338,""[^A-Za-z0-9]"",""""))&amp;""-""&amp;TEXT(COUNTIF($B$2:B338,B338),""000""))"),"")</f>
        <v/>
      </c>
      <c r="D338" s="57"/>
      <c r="E338" s="58"/>
      <c r="F338" s="59"/>
      <c r="G338" s="10"/>
      <c r="H338" s="55"/>
      <c r="I338" s="28"/>
      <c r="J338" s="28" t="s">
        <v>646</v>
      </c>
    </row>
    <row r="339" ht="22.5" customHeight="1">
      <c r="A339" s="9"/>
      <c r="B339" s="56"/>
      <c r="C339" s="13" t="str">
        <f>IFERROR(__xludf.DUMMYFUNCTION("IF(B339="""","""",LOWER(REGEXREPLACE(B339,""[^A-Za-z0-9]"",""""))&amp;""-""&amp;TEXT(COUNTIF($B$2:B339,B339),""000""))"),"")</f>
        <v/>
      </c>
      <c r="D339" s="57"/>
      <c r="E339" s="58"/>
      <c r="F339" s="59"/>
      <c r="G339" s="10"/>
      <c r="H339" s="55"/>
      <c r="I339" s="28"/>
      <c r="J339" s="28" t="s">
        <v>646</v>
      </c>
    </row>
    <row r="340" ht="22.5" customHeight="1">
      <c r="A340" s="9"/>
      <c r="B340" s="56"/>
      <c r="C340" s="13" t="str">
        <f>IFERROR(__xludf.DUMMYFUNCTION("IF(B340="""","""",LOWER(REGEXREPLACE(B340,""[^A-Za-z0-9]"",""""))&amp;""-""&amp;TEXT(COUNTIF($B$2:B340,B340),""000""))"),"")</f>
        <v/>
      </c>
      <c r="D340" s="57"/>
      <c r="E340" s="58"/>
      <c r="F340" s="59"/>
      <c r="G340" s="10"/>
      <c r="H340" s="55"/>
      <c r="I340" s="28"/>
      <c r="J340" s="28" t="s">
        <v>646</v>
      </c>
    </row>
    <row r="341" ht="22.5" customHeight="1">
      <c r="A341" s="9"/>
      <c r="B341" s="56"/>
      <c r="C341" s="13" t="str">
        <f>IFERROR(__xludf.DUMMYFUNCTION("IF(B341="""","""",LOWER(REGEXREPLACE(B341,""[^A-Za-z0-9]"",""""))&amp;""-""&amp;TEXT(COUNTIF($B$2:B341,B341),""000""))"),"")</f>
        <v/>
      </c>
      <c r="D341" s="57"/>
      <c r="E341" s="58"/>
      <c r="F341" s="59"/>
      <c r="G341" s="10"/>
      <c r="H341" s="55"/>
      <c r="I341" s="28"/>
      <c r="J341" s="28" t="s">
        <v>646</v>
      </c>
    </row>
    <row r="342" ht="22.5" customHeight="1">
      <c r="A342" s="9"/>
      <c r="B342" s="56"/>
      <c r="C342" s="13" t="str">
        <f>IFERROR(__xludf.DUMMYFUNCTION("IF(B342="""","""",LOWER(REGEXREPLACE(B342,""[^A-Za-z0-9]"",""""))&amp;""-""&amp;TEXT(COUNTIF($B$2:B342,B342),""000""))"),"")</f>
        <v/>
      </c>
      <c r="D342" s="57"/>
      <c r="E342" s="58"/>
      <c r="F342" s="59"/>
      <c r="G342" s="10"/>
      <c r="H342" s="55"/>
      <c r="I342" s="28"/>
      <c r="J342" s="28" t="s">
        <v>646</v>
      </c>
    </row>
    <row r="343" ht="22.5" customHeight="1">
      <c r="A343" s="9"/>
      <c r="B343" s="56"/>
      <c r="C343" s="13" t="str">
        <f>IFERROR(__xludf.DUMMYFUNCTION("IF(B343="""","""",LOWER(REGEXREPLACE(B343,""[^A-Za-z0-9]"",""""))&amp;""-""&amp;TEXT(COUNTIF($B$2:B343,B343),""000""))"),"")</f>
        <v/>
      </c>
      <c r="D343" s="57"/>
      <c r="E343" s="58"/>
      <c r="F343" s="59"/>
      <c r="G343" s="10"/>
      <c r="H343" s="55"/>
      <c r="I343" s="28"/>
      <c r="J343" s="28" t="s">
        <v>646</v>
      </c>
    </row>
    <row r="344" ht="22.5" customHeight="1">
      <c r="A344" s="9"/>
      <c r="B344" s="56"/>
      <c r="C344" s="13" t="str">
        <f>IFERROR(__xludf.DUMMYFUNCTION("IF(B344="""","""",LOWER(REGEXREPLACE(B344,""[^A-Za-z0-9]"",""""))&amp;""-""&amp;TEXT(COUNTIF($B$2:B344,B344),""000""))"),"")</f>
        <v/>
      </c>
      <c r="D344" s="57"/>
      <c r="E344" s="58"/>
      <c r="F344" s="59"/>
      <c r="G344" s="10"/>
      <c r="H344" s="55"/>
      <c r="I344" s="28"/>
      <c r="J344" s="28" t="s">
        <v>646</v>
      </c>
    </row>
    <row r="345" ht="22.5" customHeight="1">
      <c r="A345" s="9"/>
      <c r="B345" s="56"/>
      <c r="C345" s="13" t="str">
        <f>IFERROR(__xludf.DUMMYFUNCTION("IF(B345="""","""",LOWER(REGEXREPLACE(B345,""[^A-Za-z0-9]"",""""))&amp;""-""&amp;TEXT(COUNTIF($B$2:B345,B345),""000""))"),"")</f>
        <v/>
      </c>
      <c r="D345" s="57"/>
      <c r="E345" s="58"/>
      <c r="F345" s="59"/>
      <c r="G345" s="10"/>
      <c r="H345" s="55"/>
      <c r="I345" s="28"/>
      <c r="J345" s="28" t="s">
        <v>646</v>
      </c>
    </row>
    <row r="346" ht="22.5" customHeight="1">
      <c r="A346" s="9"/>
      <c r="B346" s="56"/>
      <c r="C346" s="13" t="str">
        <f>IFERROR(__xludf.DUMMYFUNCTION("IF(B346="""","""",LOWER(REGEXREPLACE(B346,""[^A-Za-z0-9]"",""""))&amp;""-""&amp;TEXT(COUNTIF($B$2:B346,B346),""000""))"),"")</f>
        <v/>
      </c>
      <c r="D346" s="57"/>
      <c r="E346" s="58"/>
      <c r="F346" s="59"/>
      <c r="G346" s="10"/>
      <c r="H346" s="55"/>
      <c r="I346" s="28"/>
      <c r="J346" s="28" t="s">
        <v>646</v>
      </c>
    </row>
    <row r="347" ht="22.5" customHeight="1">
      <c r="A347" s="9"/>
      <c r="B347" s="56"/>
      <c r="C347" s="13" t="str">
        <f>IFERROR(__xludf.DUMMYFUNCTION("IF(B347="""","""",LOWER(REGEXREPLACE(B347,""[^A-Za-z0-9]"",""""))&amp;""-""&amp;TEXT(COUNTIF($B$2:B347,B347),""000""))"),"")</f>
        <v/>
      </c>
      <c r="D347" s="57"/>
      <c r="E347" s="58"/>
      <c r="F347" s="59"/>
      <c r="G347" s="10"/>
      <c r="H347" s="55"/>
      <c r="I347" s="28"/>
      <c r="J347" s="28" t="s">
        <v>646</v>
      </c>
    </row>
    <row r="348" ht="22.5" customHeight="1">
      <c r="A348" s="9"/>
      <c r="B348" s="56"/>
      <c r="C348" s="13" t="str">
        <f>IFERROR(__xludf.DUMMYFUNCTION("IF(B348="""","""",LOWER(REGEXREPLACE(B348,""[^A-Za-z0-9]"",""""))&amp;""-""&amp;TEXT(COUNTIF($B$2:B348,B348),""000""))"),"")</f>
        <v/>
      </c>
      <c r="D348" s="57"/>
      <c r="E348" s="58"/>
      <c r="F348" s="59"/>
      <c r="G348" s="10"/>
      <c r="H348" s="55"/>
      <c r="I348" s="28"/>
      <c r="J348" s="28" t="s">
        <v>646</v>
      </c>
    </row>
    <row r="349" ht="22.5" customHeight="1">
      <c r="A349" s="9"/>
      <c r="B349" s="56"/>
      <c r="C349" s="13" t="str">
        <f>IFERROR(__xludf.DUMMYFUNCTION("IF(B349="""","""",LOWER(REGEXREPLACE(B349,""[^A-Za-z0-9]"",""""))&amp;""-""&amp;TEXT(COUNTIF($B$2:B349,B349),""000""))"),"")</f>
        <v/>
      </c>
      <c r="D349" s="57"/>
      <c r="E349" s="58"/>
      <c r="F349" s="59"/>
      <c r="G349" s="10"/>
      <c r="H349" s="55"/>
      <c r="I349" s="28"/>
      <c r="J349" s="28" t="s">
        <v>646</v>
      </c>
    </row>
    <row r="350" ht="22.5" customHeight="1">
      <c r="A350" s="9"/>
      <c r="B350" s="56"/>
      <c r="C350" s="13" t="str">
        <f>IFERROR(__xludf.DUMMYFUNCTION("IF(B350="""","""",LOWER(REGEXREPLACE(B350,""[^A-Za-z0-9]"",""""))&amp;""-""&amp;TEXT(COUNTIF($B$2:B350,B350),""000""))"),"")</f>
        <v/>
      </c>
      <c r="D350" s="57"/>
      <c r="E350" s="58"/>
      <c r="F350" s="59"/>
      <c r="G350" s="10"/>
      <c r="H350" s="55"/>
      <c r="I350" s="28"/>
      <c r="J350" s="28" t="s">
        <v>646</v>
      </c>
    </row>
    <row r="351" ht="22.5" customHeight="1">
      <c r="A351" s="9"/>
      <c r="B351" s="56"/>
      <c r="C351" s="13" t="str">
        <f>IFERROR(__xludf.DUMMYFUNCTION("IF(B351="""","""",LOWER(REGEXREPLACE(B351,""[^A-Za-z0-9]"",""""))&amp;""-""&amp;TEXT(COUNTIF($B$2:B351,B351),""000""))"),"")</f>
        <v/>
      </c>
      <c r="D351" s="57"/>
      <c r="E351" s="58"/>
      <c r="F351" s="59"/>
      <c r="G351" s="10"/>
      <c r="H351" s="55"/>
      <c r="I351" s="28"/>
      <c r="J351" s="28" t="s">
        <v>646</v>
      </c>
    </row>
    <row r="352" ht="22.5" customHeight="1">
      <c r="A352" s="9"/>
      <c r="B352" s="56"/>
      <c r="C352" s="13" t="str">
        <f>IFERROR(__xludf.DUMMYFUNCTION("IF(B352="""","""",LOWER(REGEXREPLACE(B352,""[^A-Za-z0-9]"",""""))&amp;""-""&amp;TEXT(COUNTIF($B$2:B352,B352),""000""))"),"")</f>
        <v/>
      </c>
      <c r="D352" s="57"/>
      <c r="E352" s="58"/>
      <c r="F352" s="59"/>
      <c r="G352" s="10"/>
      <c r="H352" s="55"/>
      <c r="I352" s="28"/>
      <c r="J352" s="28" t="s">
        <v>646</v>
      </c>
    </row>
    <row r="353" ht="22.5" customHeight="1">
      <c r="A353" s="9"/>
      <c r="B353" s="56"/>
      <c r="C353" s="13" t="str">
        <f>IFERROR(__xludf.DUMMYFUNCTION("IF(B353="""","""",LOWER(REGEXREPLACE(B353,""[^A-Za-z0-9]"",""""))&amp;""-""&amp;TEXT(COUNTIF($B$2:B353,B353),""000""))"),"")</f>
        <v/>
      </c>
      <c r="D353" s="57"/>
      <c r="E353" s="58"/>
      <c r="F353" s="59"/>
      <c r="G353" s="10"/>
      <c r="H353" s="55"/>
      <c r="I353" s="28"/>
      <c r="J353" s="28" t="s">
        <v>646</v>
      </c>
    </row>
    <row r="354" ht="22.5" customHeight="1">
      <c r="A354" s="9"/>
      <c r="B354" s="56"/>
      <c r="C354" s="13" t="str">
        <f>IFERROR(__xludf.DUMMYFUNCTION("IF(B354="""","""",LOWER(REGEXREPLACE(B354,""[^A-Za-z0-9]"",""""))&amp;""-""&amp;TEXT(COUNTIF($B$2:B354,B354),""000""))"),"")</f>
        <v/>
      </c>
      <c r="D354" s="57"/>
      <c r="E354" s="58"/>
      <c r="F354" s="59"/>
      <c r="G354" s="10"/>
      <c r="H354" s="55"/>
      <c r="I354" s="28"/>
      <c r="J354" s="28" t="s">
        <v>646</v>
      </c>
    </row>
    <row r="355" ht="22.5" customHeight="1">
      <c r="A355" s="9"/>
      <c r="B355" s="56"/>
      <c r="C355" s="13" t="str">
        <f>IFERROR(__xludf.DUMMYFUNCTION("IF(B355="""","""",LOWER(REGEXREPLACE(B355,""[^A-Za-z0-9]"",""""))&amp;""-""&amp;TEXT(COUNTIF($B$2:B355,B355),""000""))"),"")</f>
        <v/>
      </c>
      <c r="D355" s="57"/>
      <c r="E355" s="58"/>
      <c r="F355" s="59"/>
      <c r="G355" s="10"/>
      <c r="H355" s="55"/>
      <c r="I355" s="28"/>
      <c r="J355" s="28" t="s">
        <v>646</v>
      </c>
    </row>
    <row r="356" ht="22.5" customHeight="1">
      <c r="A356" s="9"/>
      <c r="B356" s="56"/>
      <c r="C356" s="13" t="str">
        <f>IFERROR(__xludf.DUMMYFUNCTION("IF(B356="""","""",LOWER(REGEXREPLACE(B356,""[^A-Za-z0-9]"",""""))&amp;""-""&amp;TEXT(COUNTIF($B$2:B356,B356),""000""))"),"")</f>
        <v/>
      </c>
      <c r="D356" s="57"/>
      <c r="E356" s="58"/>
      <c r="F356" s="59"/>
      <c r="G356" s="10"/>
      <c r="H356" s="55"/>
      <c r="I356" s="28"/>
      <c r="J356" s="28" t="s">
        <v>646</v>
      </c>
    </row>
    <row r="357" ht="22.5" customHeight="1">
      <c r="A357" s="9"/>
      <c r="B357" s="56"/>
      <c r="C357" s="13" t="str">
        <f>IFERROR(__xludf.DUMMYFUNCTION("IF(B357="""","""",LOWER(REGEXREPLACE(B357,""[^A-Za-z0-9]"",""""))&amp;""-""&amp;TEXT(COUNTIF($B$2:B357,B357),""000""))"),"")</f>
        <v/>
      </c>
      <c r="D357" s="57"/>
      <c r="E357" s="58"/>
      <c r="F357" s="59"/>
      <c r="G357" s="10"/>
      <c r="H357" s="55"/>
      <c r="I357" s="28"/>
      <c r="J357" s="28" t="s">
        <v>646</v>
      </c>
    </row>
    <row r="358" ht="22.5" customHeight="1">
      <c r="A358" s="9"/>
      <c r="B358" s="56"/>
      <c r="C358" s="13" t="str">
        <f>IFERROR(__xludf.DUMMYFUNCTION("IF(B358="""","""",LOWER(REGEXREPLACE(B358,""[^A-Za-z0-9]"",""""))&amp;""-""&amp;TEXT(COUNTIF($B$2:B358,B358),""000""))"),"")</f>
        <v/>
      </c>
      <c r="D358" s="57"/>
      <c r="E358" s="58"/>
      <c r="F358" s="59"/>
      <c r="G358" s="10"/>
      <c r="H358" s="55"/>
      <c r="I358" s="28"/>
      <c r="J358" s="28" t="s">
        <v>646</v>
      </c>
    </row>
    <row r="359" ht="22.5" customHeight="1">
      <c r="A359" s="9"/>
      <c r="B359" s="56"/>
      <c r="C359" s="13" t="str">
        <f>IFERROR(__xludf.DUMMYFUNCTION("IF(B359="""","""",LOWER(REGEXREPLACE(B359,""[^A-Za-z0-9]"",""""))&amp;""-""&amp;TEXT(COUNTIF($B$2:B359,B359),""000""))"),"")</f>
        <v/>
      </c>
      <c r="D359" s="57"/>
      <c r="E359" s="58"/>
      <c r="F359" s="59"/>
      <c r="G359" s="10"/>
      <c r="H359" s="55"/>
      <c r="I359" s="28"/>
      <c r="J359" s="28" t="s">
        <v>646</v>
      </c>
    </row>
    <row r="360" ht="22.5" customHeight="1">
      <c r="A360" s="9"/>
      <c r="B360" s="56"/>
      <c r="C360" s="13" t="str">
        <f>IFERROR(__xludf.DUMMYFUNCTION("IF(B360="""","""",LOWER(REGEXREPLACE(B360,""[^A-Za-z0-9]"",""""))&amp;""-""&amp;TEXT(COUNTIF($B$2:B360,B360),""000""))"),"")</f>
        <v/>
      </c>
      <c r="D360" s="57"/>
      <c r="E360" s="58"/>
      <c r="F360" s="59"/>
      <c r="G360" s="10"/>
      <c r="H360" s="55"/>
      <c r="I360" s="28"/>
      <c r="J360" s="28" t="s">
        <v>646</v>
      </c>
    </row>
    <row r="361" ht="22.5" customHeight="1">
      <c r="A361" s="9"/>
      <c r="B361" s="56"/>
      <c r="C361" s="13" t="str">
        <f>IFERROR(__xludf.DUMMYFUNCTION("IF(B361="""","""",LOWER(REGEXREPLACE(B361,""[^A-Za-z0-9]"",""""))&amp;""-""&amp;TEXT(COUNTIF($B$2:B361,B361),""000""))"),"")</f>
        <v/>
      </c>
      <c r="D361" s="57"/>
      <c r="E361" s="58"/>
      <c r="F361" s="59"/>
      <c r="G361" s="10"/>
      <c r="H361" s="55"/>
      <c r="I361" s="28"/>
      <c r="J361" s="28" t="s">
        <v>646</v>
      </c>
    </row>
    <row r="362" ht="22.5" customHeight="1">
      <c r="A362" s="9"/>
      <c r="B362" s="56"/>
      <c r="C362" s="13" t="str">
        <f>IFERROR(__xludf.DUMMYFUNCTION("IF(B362="""","""",LOWER(REGEXREPLACE(B362,""[^A-Za-z0-9]"",""""))&amp;""-""&amp;TEXT(COUNTIF($B$2:B362,B362),""000""))"),"")</f>
        <v/>
      </c>
      <c r="D362" s="57"/>
      <c r="E362" s="58"/>
      <c r="F362" s="59"/>
      <c r="G362" s="10"/>
      <c r="H362" s="55"/>
      <c r="I362" s="28"/>
      <c r="J362" s="28" t="s">
        <v>646</v>
      </c>
    </row>
    <row r="363" ht="22.5" customHeight="1">
      <c r="A363" s="9"/>
      <c r="B363" s="56"/>
      <c r="C363" s="13" t="str">
        <f>IFERROR(__xludf.DUMMYFUNCTION("IF(B363="""","""",LOWER(REGEXREPLACE(B363,""[^A-Za-z0-9]"",""""))&amp;""-""&amp;TEXT(COUNTIF($B$2:B363,B363),""000""))"),"")</f>
        <v/>
      </c>
      <c r="D363" s="57"/>
      <c r="E363" s="58"/>
      <c r="F363" s="59"/>
      <c r="G363" s="10"/>
      <c r="H363" s="55"/>
      <c r="I363" s="28"/>
      <c r="J363" s="28" t="s">
        <v>646</v>
      </c>
    </row>
    <row r="364" ht="22.5" customHeight="1">
      <c r="A364" s="9"/>
      <c r="B364" s="56"/>
      <c r="C364" s="13" t="str">
        <f>IFERROR(__xludf.DUMMYFUNCTION("IF(B364="""","""",LOWER(REGEXREPLACE(B364,""[^A-Za-z0-9]"",""""))&amp;""-""&amp;TEXT(COUNTIF($B$2:B364,B364),""000""))"),"")</f>
        <v/>
      </c>
      <c r="D364" s="57"/>
      <c r="E364" s="58"/>
      <c r="F364" s="59"/>
      <c r="G364" s="10"/>
      <c r="H364" s="55"/>
      <c r="I364" s="28"/>
      <c r="J364" s="28" t="s">
        <v>646</v>
      </c>
    </row>
    <row r="365" ht="22.5" customHeight="1">
      <c r="A365" s="9"/>
      <c r="B365" s="56"/>
      <c r="C365" s="13" t="str">
        <f>IFERROR(__xludf.DUMMYFUNCTION("IF(B365="""","""",LOWER(REGEXREPLACE(B365,""[^A-Za-z0-9]"",""""))&amp;""-""&amp;TEXT(COUNTIF($B$2:B365,B365),""000""))"),"")</f>
        <v/>
      </c>
      <c r="D365" s="57"/>
      <c r="E365" s="58"/>
      <c r="F365" s="59"/>
      <c r="G365" s="10"/>
      <c r="H365" s="55"/>
      <c r="I365" s="28"/>
      <c r="J365" s="28" t="s">
        <v>646</v>
      </c>
    </row>
    <row r="366" ht="22.5" customHeight="1">
      <c r="A366" s="9"/>
      <c r="B366" s="56"/>
      <c r="C366" s="13" t="str">
        <f>IFERROR(__xludf.DUMMYFUNCTION("IF(B366="""","""",LOWER(REGEXREPLACE(B366,""[^A-Za-z0-9]"",""""))&amp;""-""&amp;TEXT(COUNTIF($B$2:B366,B366),""000""))"),"")</f>
        <v/>
      </c>
      <c r="D366" s="57"/>
      <c r="E366" s="58"/>
      <c r="F366" s="59"/>
      <c r="G366" s="10"/>
      <c r="H366" s="55"/>
      <c r="I366" s="28"/>
      <c r="J366" s="28" t="s">
        <v>646</v>
      </c>
    </row>
    <row r="367" ht="22.5" customHeight="1">
      <c r="A367" s="9"/>
      <c r="B367" s="56"/>
      <c r="C367" s="13" t="str">
        <f>IFERROR(__xludf.DUMMYFUNCTION("IF(B367="""","""",LOWER(REGEXREPLACE(B367,""[^A-Za-z0-9]"",""""))&amp;""-""&amp;TEXT(COUNTIF($B$2:B367,B367),""000""))"),"")</f>
        <v/>
      </c>
      <c r="D367" s="57"/>
      <c r="E367" s="58"/>
      <c r="F367" s="59"/>
      <c r="G367" s="10"/>
      <c r="H367" s="55"/>
      <c r="I367" s="28"/>
      <c r="J367" s="28" t="s">
        <v>646</v>
      </c>
    </row>
    <row r="368" ht="22.5" customHeight="1">
      <c r="A368" s="9"/>
      <c r="B368" s="56"/>
      <c r="C368" s="13" t="str">
        <f>IFERROR(__xludf.DUMMYFUNCTION("IF(B368="""","""",LOWER(REGEXREPLACE(B368,""[^A-Za-z0-9]"",""""))&amp;""-""&amp;TEXT(COUNTIF($B$2:B368,B368),""000""))"),"")</f>
        <v/>
      </c>
      <c r="D368" s="57"/>
      <c r="E368" s="58"/>
      <c r="F368" s="59"/>
      <c r="G368" s="10"/>
      <c r="H368" s="55"/>
      <c r="I368" s="28"/>
      <c r="J368" s="28" t="s">
        <v>646</v>
      </c>
    </row>
    <row r="369" ht="22.5" customHeight="1">
      <c r="A369" s="9"/>
      <c r="B369" s="56"/>
      <c r="C369" s="13" t="str">
        <f>IFERROR(__xludf.DUMMYFUNCTION("IF(B369="""","""",LOWER(REGEXREPLACE(B369,""[^A-Za-z0-9]"",""""))&amp;""-""&amp;TEXT(COUNTIF($B$2:B369,B369),""000""))"),"")</f>
        <v/>
      </c>
      <c r="D369" s="57"/>
      <c r="E369" s="58"/>
      <c r="F369" s="59"/>
      <c r="G369" s="10"/>
      <c r="H369" s="55"/>
      <c r="I369" s="28"/>
      <c r="J369" s="28" t="s">
        <v>646</v>
      </c>
    </row>
    <row r="370" ht="22.5" customHeight="1">
      <c r="A370" s="9"/>
      <c r="B370" s="56"/>
      <c r="C370" s="13" t="str">
        <f>IFERROR(__xludf.DUMMYFUNCTION("IF(B370="""","""",LOWER(REGEXREPLACE(B370,""[^A-Za-z0-9]"",""""))&amp;""-""&amp;TEXT(COUNTIF($B$2:B370,B370),""000""))"),"")</f>
        <v/>
      </c>
      <c r="D370" s="57"/>
      <c r="E370" s="58"/>
      <c r="F370" s="59"/>
      <c r="G370" s="10"/>
      <c r="H370" s="55"/>
      <c r="I370" s="28"/>
      <c r="J370" s="28" t="s">
        <v>646</v>
      </c>
    </row>
    <row r="371" ht="22.5" customHeight="1">
      <c r="A371" s="9"/>
      <c r="B371" s="56"/>
      <c r="C371" s="13" t="str">
        <f>IFERROR(__xludf.DUMMYFUNCTION("IF(B371="""","""",LOWER(REGEXREPLACE(B371,""[^A-Za-z0-9]"",""""))&amp;""-""&amp;TEXT(COUNTIF($B$2:B371,B371),""000""))"),"")</f>
        <v/>
      </c>
      <c r="D371" s="57"/>
      <c r="E371" s="58"/>
      <c r="F371" s="59"/>
      <c r="G371" s="10"/>
      <c r="H371" s="55"/>
      <c r="I371" s="28"/>
      <c r="J371" s="28" t="s">
        <v>646</v>
      </c>
    </row>
    <row r="372" ht="22.5" customHeight="1">
      <c r="A372" s="9"/>
      <c r="B372" s="56"/>
      <c r="C372" s="13" t="str">
        <f>IFERROR(__xludf.DUMMYFUNCTION("IF(B372="""","""",LOWER(REGEXREPLACE(B372,""[^A-Za-z0-9]"",""""))&amp;""-""&amp;TEXT(COUNTIF($B$2:B372,B372),""000""))"),"")</f>
        <v/>
      </c>
      <c r="D372" s="57"/>
      <c r="E372" s="58"/>
      <c r="F372" s="59"/>
      <c r="G372" s="10"/>
      <c r="H372" s="55"/>
      <c r="I372" s="28"/>
      <c r="J372" s="28" t="s">
        <v>646</v>
      </c>
    </row>
    <row r="373" ht="22.5" customHeight="1">
      <c r="A373" s="9"/>
      <c r="B373" s="56"/>
      <c r="C373" s="13" t="str">
        <f>IFERROR(__xludf.DUMMYFUNCTION("IF(B373="""","""",LOWER(REGEXREPLACE(B373,""[^A-Za-z0-9]"",""""))&amp;""-""&amp;TEXT(COUNTIF($B$2:B373,B373),""000""))"),"")</f>
        <v/>
      </c>
      <c r="D373" s="57"/>
      <c r="E373" s="58"/>
      <c r="F373" s="59"/>
      <c r="G373" s="10"/>
      <c r="H373" s="55"/>
      <c r="I373" s="28"/>
      <c r="J373" s="28" t="s">
        <v>646</v>
      </c>
    </row>
    <row r="374" ht="22.5" customHeight="1">
      <c r="A374" s="9"/>
      <c r="B374" s="56"/>
      <c r="C374" s="13" t="str">
        <f>IFERROR(__xludf.DUMMYFUNCTION("IF(B374="""","""",LOWER(REGEXREPLACE(B374,""[^A-Za-z0-9]"",""""))&amp;""-""&amp;TEXT(COUNTIF($B$2:B374,B374),""000""))"),"")</f>
        <v/>
      </c>
      <c r="D374" s="57"/>
      <c r="E374" s="58"/>
      <c r="F374" s="59"/>
      <c r="G374" s="10"/>
      <c r="H374" s="55"/>
      <c r="I374" s="28"/>
      <c r="J374" s="28" t="s">
        <v>646</v>
      </c>
    </row>
    <row r="375" ht="22.5" customHeight="1">
      <c r="A375" s="9"/>
      <c r="B375" s="56"/>
      <c r="C375" s="13" t="str">
        <f>IFERROR(__xludf.DUMMYFUNCTION("IF(B375="""","""",LOWER(REGEXREPLACE(B375,""[^A-Za-z0-9]"",""""))&amp;""-""&amp;TEXT(COUNTIF($B$2:B375,B375),""000""))"),"")</f>
        <v/>
      </c>
      <c r="D375" s="57"/>
      <c r="E375" s="58"/>
      <c r="F375" s="59"/>
      <c r="G375" s="10"/>
      <c r="H375" s="55"/>
      <c r="I375" s="28"/>
      <c r="J375" s="28" t="s">
        <v>646</v>
      </c>
    </row>
    <row r="376" ht="22.5" customHeight="1">
      <c r="A376" s="9"/>
      <c r="B376" s="56"/>
      <c r="C376" s="13" t="str">
        <f>IFERROR(__xludf.DUMMYFUNCTION("IF(B376="""","""",LOWER(REGEXREPLACE(B376,""[^A-Za-z0-9]"",""""))&amp;""-""&amp;TEXT(COUNTIF($B$2:B376,B376),""000""))"),"")</f>
        <v/>
      </c>
      <c r="D376" s="57"/>
      <c r="E376" s="58"/>
      <c r="F376" s="59"/>
      <c r="G376" s="10"/>
      <c r="H376" s="55"/>
      <c r="I376" s="28"/>
      <c r="J376" s="28" t="s">
        <v>646</v>
      </c>
    </row>
    <row r="377" ht="22.5" customHeight="1">
      <c r="A377" s="9"/>
      <c r="B377" s="56"/>
      <c r="C377" s="13" t="str">
        <f>IFERROR(__xludf.DUMMYFUNCTION("IF(B377="""","""",LOWER(REGEXREPLACE(B377,""[^A-Za-z0-9]"",""""))&amp;""-""&amp;TEXT(COUNTIF($B$2:B377,B377),""000""))"),"")</f>
        <v/>
      </c>
      <c r="D377" s="57"/>
      <c r="E377" s="58"/>
      <c r="F377" s="59"/>
      <c r="G377" s="10"/>
      <c r="H377" s="55"/>
      <c r="I377" s="28"/>
      <c r="J377" s="28" t="s">
        <v>646</v>
      </c>
    </row>
    <row r="378" ht="22.5" customHeight="1">
      <c r="A378" s="9"/>
      <c r="B378" s="56"/>
      <c r="C378" s="13" t="str">
        <f>IFERROR(__xludf.DUMMYFUNCTION("IF(B378="""","""",LOWER(REGEXREPLACE(B378,""[^A-Za-z0-9]"",""""))&amp;""-""&amp;TEXT(COUNTIF($B$2:B378,B378),""000""))"),"")</f>
        <v/>
      </c>
      <c r="D378" s="57"/>
      <c r="E378" s="58"/>
      <c r="F378" s="59"/>
      <c r="G378" s="10"/>
      <c r="H378" s="55"/>
      <c r="I378" s="28"/>
      <c r="J378" s="28" t="s">
        <v>646</v>
      </c>
    </row>
    <row r="379" ht="22.5" customHeight="1">
      <c r="A379" s="9"/>
      <c r="B379" s="56"/>
      <c r="C379" s="13" t="str">
        <f>IFERROR(__xludf.DUMMYFUNCTION("IF(B379="""","""",LOWER(REGEXREPLACE(B379,""[^A-Za-z0-9]"",""""))&amp;""-""&amp;TEXT(COUNTIF($B$2:B379,B379),""000""))"),"")</f>
        <v/>
      </c>
      <c r="D379" s="57"/>
      <c r="E379" s="58"/>
      <c r="F379" s="59"/>
      <c r="G379" s="10"/>
      <c r="H379" s="55"/>
      <c r="I379" s="28"/>
      <c r="J379" s="28" t="s">
        <v>646</v>
      </c>
    </row>
    <row r="380" ht="22.5" customHeight="1">
      <c r="A380" s="9"/>
      <c r="B380" s="56"/>
      <c r="C380" s="13" t="str">
        <f>IFERROR(__xludf.DUMMYFUNCTION("IF(B380="""","""",LOWER(REGEXREPLACE(B380,""[^A-Za-z0-9]"",""""))&amp;""-""&amp;TEXT(COUNTIF($B$2:B380,B380),""000""))"),"")</f>
        <v/>
      </c>
      <c r="D380" s="57"/>
      <c r="E380" s="58"/>
      <c r="F380" s="59"/>
      <c r="G380" s="10"/>
      <c r="H380" s="55"/>
      <c r="I380" s="28"/>
      <c r="J380" s="28" t="s">
        <v>646</v>
      </c>
    </row>
    <row r="381" ht="22.5" customHeight="1">
      <c r="A381" s="9"/>
      <c r="B381" s="56"/>
      <c r="C381" s="13" t="str">
        <f>IFERROR(__xludf.DUMMYFUNCTION("IF(B381="""","""",LOWER(REGEXREPLACE(B381,""[^A-Za-z0-9]"",""""))&amp;""-""&amp;TEXT(COUNTIF($B$2:B381,B381),""000""))"),"")</f>
        <v/>
      </c>
      <c r="D381" s="57"/>
      <c r="E381" s="58"/>
      <c r="F381" s="59"/>
      <c r="G381" s="10"/>
      <c r="H381" s="55"/>
      <c r="I381" s="28"/>
      <c r="J381" s="28" t="s">
        <v>646</v>
      </c>
    </row>
    <row r="382" ht="22.5" customHeight="1">
      <c r="A382" s="9"/>
      <c r="B382" s="56"/>
      <c r="C382" s="13" t="str">
        <f>IFERROR(__xludf.DUMMYFUNCTION("IF(B382="""","""",LOWER(REGEXREPLACE(B382,""[^A-Za-z0-9]"",""""))&amp;""-""&amp;TEXT(COUNTIF($B$2:B382,B382),""000""))"),"")</f>
        <v/>
      </c>
      <c r="D382" s="57"/>
      <c r="E382" s="58"/>
      <c r="F382" s="59"/>
      <c r="G382" s="10"/>
      <c r="H382" s="55"/>
      <c r="I382" s="28"/>
      <c r="J382" s="28" t="s">
        <v>646</v>
      </c>
    </row>
    <row r="383" ht="22.5" customHeight="1">
      <c r="A383" s="9"/>
      <c r="B383" s="56"/>
      <c r="C383" s="13" t="str">
        <f>IFERROR(__xludf.DUMMYFUNCTION("IF(B383="""","""",LOWER(REGEXREPLACE(B383,""[^A-Za-z0-9]"",""""))&amp;""-""&amp;TEXT(COUNTIF($B$2:B383,B383),""000""))"),"")</f>
        <v/>
      </c>
      <c r="D383" s="57"/>
      <c r="E383" s="58"/>
      <c r="F383" s="59"/>
      <c r="G383" s="10"/>
      <c r="H383" s="55"/>
      <c r="I383" s="28"/>
      <c r="J383" s="28" t="s">
        <v>646</v>
      </c>
    </row>
    <row r="384" ht="22.5" customHeight="1">
      <c r="A384" s="9"/>
      <c r="B384" s="56"/>
      <c r="C384" s="13" t="str">
        <f>IFERROR(__xludf.DUMMYFUNCTION("IF(B384="""","""",LOWER(REGEXREPLACE(B384,""[^A-Za-z0-9]"",""""))&amp;""-""&amp;TEXT(COUNTIF($B$2:B384,B384),""000""))"),"")</f>
        <v/>
      </c>
      <c r="D384" s="57"/>
      <c r="E384" s="58"/>
      <c r="F384" s="59"/>
      <c r="G384" s="10"/>
      <c r="H384" s="55"/>
      <c r="I384" s="28"/>
      <c r="J384" s="28" t="s">
        <v>646</v>
      </c>
    </row>
    <row r="385" ht="22.5" customHeight="1">
      <c r="A385" s="9"/>
      <c r="B385" s="56"/>
      <c r="C385" s="13" t="str">
        <f>IFERROR(__xludf.DUMMYFUNCTION("IF(B385="""","""",LOWER(REGEXREPLACE(B385,""[^A-Za-z0-9]"",""""))&amp;""-""&amp;TEXT(COUNTIF($B$2:B385,B385),""000""))"),"")</f>
        <v/>
      </c>
      <c r="D385" s="57"/>
      <c r="E385" s="58"/>
      <c r="F385" s="59"/>
      <c r="G385" s="10"/>
      <c r="H385" s="55"/>
      <c r="I385" s="28"/>
      <c r="J385" s="28" t="s">
        <v>646</v>
      </c>
    </row>
    <row r="386" ht="22.5" customHeight="1">
      <c r="A386" s="9"/>
      <c r="B386" s="56"/>
      <c r="C386" s="13" t="str">
        <f>IFERROR(__xludf.DUMMYFUNCTION("IF(B386="""","""",LOWER(REGEXREPLACE(B386,""[^A-Za-z0-9]"",""""))&amp;""-""&amp;TEXT(COUNTIF($B$2:B386,B386),""000""))"),"")</f>
        <v/>
      </c>
      <c r="D386" s="57"/>
      <c r="E386" s="58"/>
      <c r="F386" s="59"/>
      <c r="G386" s="10"/>
      <c r="H386" s="55"/>
      <c r="I386" s="28"/>
      <c r="J386" s="28" t="s">
        <v>646</v>
      </c>
    </row>
    <row r="387" ht="22.5" customHeight="1">
      <c r="A387" s="9"/>
      <c r="B387" s="56"/>
      <c r="C387" s="13" t="str">
        <f>IFERROR(__xludf.DUMMYFUNCTION("IF(B387="""","""",LOWER(REGEXREPLACE(B387,""[^A-Za-z0-9]"",""""))&amp;""-""&amp;TEXT(COUNTIF($B$2:B387,B387),""000""))"),"")</f>
        <v/>
      </c>
      <c r="D387" s="57"/>
      <c r="E387" s="58"/>
      <c r="F387" s="59"/>
      <c r="G387" s="10"/>
      <c r="H387" s="55"/>
      <c r="I387" s="28"/>
      <c r="J387" s="28" t="s">
        <v>646</v>
      </c>
    </row>
    <row r="388" ht="22.5" customHeight="1">
      <c r="A388" s="9"/>
      <c r="B388" s="56"/>
      <c r="C388" s="13" t="str">
        <f>IFERROR(__xludf.DUMMYFUNCTION("IF(B388="""","""",LOWER(REGEXREPLACE(B388,""[^A-Za-z0-9]"",""""))&amp;""-""&amp;TEXT(COUNTIF($B$2:B388,B388),""000""))"),"")</f>
        <v/>
      </c>
      <c r="D388" s="57"/>
      <c r="E388" s="58"/>
      <c r="F388" s="59"/>
      <c r="G388" s="10"/>
      <c r="H388" s="55"/>
      <c r="I388" s="28"/>
      <c r="J388" s="28" t="s">
        <v>646</v>
      </c>
    </row>
    <row r="389" ht="22.5" customHeight="1">
      <c r="A389" s="9"/>
      <c r="B389" s="56"/>
      <c r="C389" s="13" t="str">
        <f>IFERROR(__xludf.DUMMYFUNCTION("IF(B389="""","""",LOWER(REGEXREPLACE(B389,""[^A-Za-z0-9]"",""""))&amp;""-""&amp;TEXT(COUNTIF($B$2:B389,B389),""000""))"),"")</f>
        <v/>
      </c>
      <c r="D389" s="57"/>
      <c r="E389" s="58"/>
      <c r="F389" s="59"/>
      <c r="G389" s="10"/>
      <c r="H389" s="55"/>
      <c r="I389" s="28"/>
      <c r="J389" s="28" t="s">
        <v>646</v>
      </c>
    </row>
    <row r="390" ht="22.5" customHeight="1">
      <c r="A390" s="9"/>
      <c r="B390" s="56"/>
      <c r="C390" s="13" t="str">
        <f>IFERROR(__xludf.DUMMYFUNCTION("IF(B390="""","""",LOWER(REGEXREPLACE(B390,""[^A-Za-z0-9]"",""""))&amp;""-""&amp;TEXT(COUNTIF($B$2:B390,B390),""000""))"),"")</f>
        <v/>
      </c>
      <c r="D390" s="57"/>
      <c r="E390" s="58"/>
      <c r="F390" s="59"/>
      <c r="G390" s="10"/>
      <c r="H390" s="55"/>
      <c r="I390" s="28"/>
      <c r="J390" s="28" t="s">
        <v>646</v>
      </c>
    </row>
    <row r="391" ht="22.5" customHeight="1">
      <c r="A391" s="9"/>
      <c r="B391" s="56"/>
      <c r="C391" s="13" t="str">
        <f>IFERROR(__xludf.DUMMYFUNCTION("IF(B391="""","""",LOWER(REGEXREPLACE(B391,""[^A-Za-z0-9]"",""""))&amp;""-""&amp;TEXT(COUNTIF($B$2:B391,B391),""000""))"),"")</f>
        <v/>
      </c>
      <c r="D391" s="57"/>
      <c r="E391" s="58"/>
      <c r="F391" s="59"/>
      <c r="G391" s="10"/>
      <c r="H391" s="55"/>
      <c r="I391" s="28"/>
      <c r="J391" s="28" t="s">
        <v>646</v>
      </c>
    </row>
    <row r="392" ht="22.5" customHeight="1">
      <c r="A392" s="9"/>
      <c r="B392" s="56"/>
      <c r="C392" s="13" t="str">
        <f>IFERROR(__xludf.DUMMYFUNCTION("IF(B392="""","""",LOWER(REGEXREPLACE(B392,""[^A-Za-z0-9]"",""""))&amp;""-""&amp;TEXT(COUNTIF($B$2:B392,B392),""000""))"),"")</f>
        <v/>
      </c>
      <c r="D392" s="57"/>
      <c r="E392" s="58"/>
      <c r="F392" s="59"/>
      <c r="G392" s="10"/>
      <c r="H392" s="55"/>
      <c r="I392" s="28"/>
      <c r="J392" s="28" t="s">
        <v>646</v>
      </c>
    </row>
    <row r="393" ht="22.5" customHeight="1">
      <c r="A393" s="9"/>
      <c r="B393" s="56"/>
      <c r="C393" s="13" t="str">
        <f>IFERROR(__xludf.DUMMYFUNCTION("IF(B393="""","""",LOWER(REGEXREPLACE(B393,""[^A-Za-z0-9]"",""""))&amp;""-""&amp;TEXT(COUNTIF($B$2:B393,B393),""000""))"),"")</f>
        <v/>
      </c>
      <c r="D393" s="57"/>
      <c r="E393" s="58"/>
      <c r="F393" s="59"/>
      <c r="G393" s="10"/>
      <c r="H393" s="55"/>
      <c r="I393" s="28"/>
      <c r="J393" s="28" t="s">
        <v>646</v>
      </c>
    </row>
    <row r="394" ht="22.5" customHeight="1">
      <c r="A394" s="9"/>
      <c r="B394" s="56"/>
      <c r="C394" s="13" t="str">
        <f>IFERROR(__xludf.DUMMYFUNCTION("IF(B394="""","""",LOWER(REGEXREPLACE(B394,""[^A-Za-z0-9]"",""""))&amp;""-""&amp;TEXT(COUNTIF($B$2:B394,B394),""000""))"),"")</f>
        <v/>
      </c>
      <c r="D394" s="57"/>
      <c r="E394" s="58"/>
      <c r="F394" s="59"/>
      <c r="G394" s="10"/>
      <c r="H394" s="55"/>
      <c r="I394" s="28"/>
      <c r="J394" s="28" t="s">
        <v>646</v>
      </c>
    </row>
    <row r="395" ht="22.5" customHeight="1">
      <c r="A395" s="9"/>
      <c r="B395" s="56"/>
      <c r="C395" s="13" t="str">
        <f>IFERROR(__xludf.DUMMYFUNCTION("IF(B395="""","""",LOWER(REGEXREPLACE(B395,""[^A-Za-z0-9]"",""""))&amp;""-""&amp;TEXT(COUNTIF($B$2:B395,B395),""000""))"),"")</f>
        <v/>
      </c>
      <c r="D395" s="57"/>
      <c r="E395" s="58"/>
      <c r="F395" s="59"/>
      <c r="G395" s="10"/>
      <c r="H395" s="55"/>
      <c r="I395" s="28"/>
      <c r="J395" s="28" t="s">
        <v>646</v>
      </c>
    </row>
    <row r="396" ht="22.5" customHeight="1">
      <c r="A396" s="9"/>
      <c r="B396" s="56"/>
      <c r="C396" s="13" t="str">
        <f>IFERROR(__xludf.DUMMYFUNCTION("IF(B396="""","""",LOWER(REGEXREPLACE(B396,""[^A-Za-z0-9]"",""""))&amp;""-""&amp;TEXT(COUNTIF($B$2:B396,B396),""000""))"),"")</f>
        <v/>
      </c>
      <c r="D396" s="57"/>
      <c r="E396" s="58"/>
      <c r="F396" s="59"/>
      <c r="G396" s="10"/>
      <c r="H396" s="55"/>
      <c r="I396" s="28"/>
      <c r="J396" s="28" t="s">
        <v>646</v>
      </c>
    </row>
    <row r="397" ht="22.5" customHeight="1">
      <c r="A397" s="9"/>
      <c r="B397" s="56"/>
      <c r="C397" s="13" t="str">
        <f>IFERROR(__xludf.DUMMYFUNCTION("IF(B397="""","""",LOWER(REGEXREPLACE(B397,""[^A-Za-z0-9]"",""""))&amp;""-""&amp;TEXT(COUNTIF($B$2:B397,B397),""000""))"),"")</f>
        <v/>
      </c>
      <c r="D397" s="57"/>
      <c r="E397" s="58"/>
      <c r="F397" s="59"/>
      <c r="G397" s="10"/>
      <c r="H397" s="55"/>
      <c r="I397" s="28"/>
      <c r="J397" s="28" t="s">
        <v>646</v>
      </c>
    </row>
    <row r="398" ht="22.5" customHeight="1">
      <c r="A398" s="9"/>
      <c r="B398" s="56"/>
      <c r="C398" s="13" t="str">
        <f>IFERROR(__xludf.DUMMYFUNCTION("IF(B398="""","""",LOWER(REGEXREPLACE(B398,""[^A-Za-z0-9]"",""""))&amp;""-""&amp;TEXT(COUNTIF($B$2:B398,B398),""000""))"),"")</f>
        <v/>
      </c>
      <c r="D398" s="57"/>
      <c r="E398" s="58"/>
      <c r="F398" s="59"/>
      <c r="G398" s="10"/>
      <c r="H398" s="55"/>
      <c r="I398" s="28"/>
      <c r="J398" s="28" t="s">
        <v>646</v>
      </c>
    </row>
    <row r="399" ht="22.5" customHeight="1">
      <c r="A399" s="9"/>
      <c r="B399" s="56"/>
      <c r="C399" s="13" t="str">
        <f>IFERROR(__xludf.DUMMYFUNCTION("IF(B399="""","""",LOWER(REGEXREPLACE(B399,""[^A-Za-z0-9]"",""""))&amp;""-""&amp;TEXT(COUNTIF($B$2:B399,B399),""000""))"),"")</f>
        <v/>
      </c>
      <c r="D399" s="57"/>
      <c r="E399" s="58"/>
      <c r="F399" s="59"/>
      <c r="G399" s="10"/>
      <c r="H399" s="55"/>
      <c r="I399" s="28"/>
      <c r="J399" s="28" t="s">
        <v>646</v>
      </c>
    </row>
    <row r="400" ht="22.5" customHeight="1">
      <c r="A400" s="9"/>
      <c r="B400" s="56"/>
      <c r="C400" s="13" t="str">
        <f>IFERROR(__xludf.DUMMYFUNCTION("IF(B400="""","""",LOWER(REGEXREPLACE(B400,""[^A-Za-z0-9]"",""""))&amp;""-""&amp;TEXT(COUNTIF($B$2:B400,B400),""000""))"),"")</f>
        <v/>
      </c>
      <c r="D400" s="57"/>
      <c r="E400" s="58"/>
      <c r="F400" s="59"/>
      <c r="G400" s="10"/>
      <c r="H400" s="55"/>
      <c r="I400" s="28"/>
      <c r="J400" s="28" t="s">
        <v>646</v>
      </c>
    </row>
    <row r="401" ht="22.5" customHeight="1">
      <c r="A401" s="9"/>
      <c r="B401" s="56"/>
      <c r="C401" s="13" t="str">
        <f>IFERROR(__xludf.DUMMYFUNCTION("IF(B401="""","""",LOWER(REGEXREPLACE(B401,""[^A-Za-z0-9]"",""""))&amp;""-""&amp;TEXT(COUNTIF($B$2:B401,B401),""000""))"),"")</f>
        <v/>
      </c>
      <c r="D401" s="57"/>
      <c r="E401" s="58"/>
      <c r="F401" s="59"/>
      <c r="G401" s="10"/>
      <c r="H401" s="55"/>
      <c r="I401" s="28"/>
      <c r="J401" s="28" t="s">
        <v>646</v>
      </c>
    </row>
    <row r="402" ht="22.5" customHeight="1">
      <c r="A402" s="9"/>
      <c r="B402" s="56"/>
      <c r="C402" s="13" t="str">
        <f>IFERROR(__xludf.DUMMYFUNCTION("IF(B402="""","""",LOWER(REGEXREPLACE(B402,""[^A-Za-z0-9]"",""""))&amp;""-""&amp;TEXT(COUNTIF($B$2:B402,B402),""000""))"),"")</f>
        <v/>
      </c>
      <c r="D402" s="57"/>
      <c r="E402" s="58"/>
      <c r="F402" s="59"/>
      <c r="G402" s="10"/>
      <c r="H402" s="55"/>
      <c r="I402" s="28"/>
      <c r="J402" s="28" t="s">
        <v>646</v>
      </c>
    </row>
    <row r="403" ht="22.5" customHeight="1">
      <c r="A403" s="9"/>
      <c r="B403" s="56"/>
      <c r="C403" s="13" t="str">
        <f>IFERROR(__xludf.DUMMYFUNCTION("IF(B403="""","""",LOWER(REGEXREPLACE(B403,""[^A-Za-z0-9]"",""""))&amp;""-""&amp;TEXT(COUNTIF($B$2:B403,B403),""000""))"),"")</f>
        <v/>
      </c>
      <c r="D403" s="57"/>
      <c r="E403" s="58"/>
      <c r="F403" s="59"/>
      <c r="G403" s="10"/>
      <c r="H403" s="55"/>
      <c r="I403" s="28"/>
      <c r="J403" s="28" t="s">
        <v>646</v>
      </c>
    </row>
    <row r="404" ht="22.5" customHeight="1">
      <c r="A404" s="9"/>
      <c r="B404" s="56"/>
      <c r="C404" s="13" t="str">
        <f>IFERROR(__xludf.DUMMYFUNCTION("IF(B404="""","""",LOWER(REGEXREPLACE(B404,""[^A-Za-z0-9]"",""""))&amp;""-""&amp;TEXT(COUNTIF($B$2:B404,B404),""000""))"),"")</f>
        <v/>
      </c>
      <c r="D404" s="57"/>
      <c r="E404" s="58"/>
      <c r="F404" s="59"/>
      <c r="G404" s="10"/>
      <c r="H404" s="55"/>
      <c r="I404" s="28"/>
      <c r="J404" s="28" t="s">
        <v>646</v>
      </c>
    </row>
    <row r="405" ht="22.5" customHeight="1">
      <c r="A405" s="9"/>
      <c r="B405" s="56"/>
      <c r="C405" s="13" t="str">
        <f>IFERROR(__xludf.DUMMYFUNCTION("IF(B405="""","""",LOWER(REGEXREPLACE(B405,""[^A-Za-z0-9]"",""""))&amp;""-""&amp;TEXT(COUNTIF($B$2:B405,B405),""000""))"),"")</f>
        <v/>
      </c>
      <c r="D405" s="57"/>
      <c r="E405" s="58"/>
      <c r="F405" s="59"/>
      <c r="G405" s="10"/>
      <c r="H405" s="55"/>
      <c r="I405" s="28"/>
      <c r="J405" s="28" t="s">
        <v>646</v>
      </c>
    </row>
    <row r="406" ht="22.5" customHeight="1">
      <c r="A406" s="9"/>
      <c r="B406" s="56"/>
      <c r="C406" s="13" t="str">
        <f>IFERROR(__xludf.DUMMYFUNCTION("IF(B406="""","""",LOWER(REGEXREPLACE(B406,""[^A-Za-z0-9]"",""""))&amp;""-""&amp;TEXT(COUNTIF($B$2:B406,B406),""000""))"),"")</f>
        <v/>
      </c>
      <c r="D406" s="57"/>
      <c r="E406" s="58"/>
      <c r="F406" s="59"/>
      <c r="G406" s="10"/>
      <c r="H406" s="55"/>
      <c r="I406" s="28"/>
      <c r="J406" s="28" t="s">
        <v>646</v>
      </c>
    </row>
    <row r="407" ht="22.5" customHeight="1">
      <c r="A407" s="9"/>
      <c r="B407" s="56"/>
      <c r="C407" s="13" t="str">
        <f>IFERROR(__xludf.DUMMYFUNCTION("IF(B407="""","""",LOWER(REGEXREPLACE(B407,""[^A-Za-z0-9]"",""""))&amp;""-""&amp;TEXT(COUNTIF($B$2:B407,B407),""000""))"),"")</f>
        <v/>
      </c>
      <c r="D407" s="57"/>
      <c r="E407" s="58"/>
      <c r="F407" s="59"/>
      <c r="G407" s="10"/>
      <c r="H407" s="55"/>
      <c r="I407" s="28"/>
      <c r="J407" s="28" t="s">
        <v>646</v>
      </c>
    </row>
    <row r="408" ht="22.5" customHeight="1">
      <c r="A408" s="9"/>
      <c r="B408" s="56"/>
      <c r="C408" s="13" t="str">
        <f>IFERROR(__xludf.DUMMYFUNCTION("IF(B408="""","""",LOWER(REGEXREPLACE(B408,""[^A-Za-z0-9]"",""""))&amp;""-""&amp;TEXT(COUNTIF($B$2:B408,B408),""000""))"),"")</f>
        <v/>
      </c>
      <c r="D408" s="57"/>
      <c r="E408" s="58"/>
      <c r="F408" s="59"/>
      <c r="G408" s="10"/>
      <c r="H408" s="55"/>
      <c r="I408" s="28"/>
      <c r="J408" s="28" t="s">
        <v>646</v>
      </c>
    </row>
    <row r="409" ht="22.5" customHeight="1">
      <c r="A409" s="9"/>
      <c r="B409" s="56"/>
      <c r="C409" s="13" t="str">
        <f>IFERROR(__xludf.DUMMYFUNCTION("IF(B409="""","""",LOWER(REGEXREPLACE(B409,""[^A-Za-z0-9]"",""""))&amp;""-""&amp;TEXT(COUNTIF($B$2:B409,B409),""000""))"),"")</f>
        <v/>
      </c>
      <c r="D409" s="57"/>
      <c r="E409" s="58"/>
      <c r="F409" s="59"/>
      <c r="G409" s="10"/>
      <c r="H409" s="55"/>
      <c r="I409" s="28"/>
      <c r="J409" s="28" t="s">
        <v>646</v>
      </c>
    </row>
    <row r="410" ht="22.5" customHeight="1">
      <c r="A410" s="9"/>
      <c r="B410" s="56"/>
      <c r="C410" s="13" t="str">
        <f>IFERROR(__xludf.DUMMYFUNCTION("IF(B410="""","""",LOWER(REGEXREPLACE(B410,""[^A-Za-z0-9]"",""""))&amp;""-""&amp;TEXT(COUNTIF($B$2:B410,B410),""000""))"),"")</f>
        <v/>
      </c>
      <c r="D410" s="57"/>
      <c r="E410" s="58"/>
      <c r="F410" s="59"/>
      <c r="G410" s="10"/>
      <c r="H410" s="55"/>
      <c r="I410" s="28"/>
      <c r="J410" s="28" t="s">
        <v>646</v>
      </c>
    </row>
    <row r="411" ht="22.5" customHeight="1">
      <c r="A411" s="9"/>
      <c r="B411" s="56"/>
      <c r="C411" s="13" t="str">
        <f>IFERROR(__xludf.DUMMYFUNCTION("IF(B411="""","""",LOWER(REGEXREPLACE(B411,""[^A-Za-z0-9]"",""""))&amp;""-""&amp;TEXT(COUNTIF($B$2:B411,B411),""000""))"),"")</f>
        <v/>
      </c>
      <c r="D411" s="57"/>
      <c r="E411" s="58"/>
      <c r="F411" s="59"/>
      <c r="G411" s="10"/>
      <c r="H411" s="55"/>
      <c r="I411" s="28"/>
      <c r="J411" s="28" t="s">
        <v>646</v>
      </c>
    </row>
    <row r="412" ht="22.5" customHeight="1">
      <c r="A412" s="9"/>
      <c r="B412" s="56"/>
      <c r="C412" s="13" t="str">
        <f>IFERROR(__xludf.DUMMYFUNCTION("IF(B412="""","""",LOWER(REGEXREPLACE(B412,""[^A-Za-z0-9]"",""""))&amp;""-""&amp;TEXT(COUNTIF($B$2:B412,B412),""000""))"),"")</f>
        <v/>
      </c>
      <c r="D412" s="57"/>
      <c r="E412" s="58"/>
      <c r="F412" s="59"/>
      <c r="G412" s="10"/>
      <c r="H412" s="55"/>
      <c r="I412" s="28"/>
      <c r="J412" s="28" t="s">
        <v>646</v>
      </c>
    </row>
    <row r="413" ht="22.5" customHeight="1">
      <c r="A413" s="9"/>
      <c r="B413" s="56"/>
      <c r="C413" s="13" t="str">
        <f>IFERROR(__xludf.DUMMYFUNCTION("IF(B413="""","""",LOWER(REGEXREPLACE(B413,""[^A-Za-z0-9]"",""""))&amp;""-""&amp;TEXT(COUNTIF($B$2:B413,B413),""000""))"),"")</f>
        <v/>
      </c>
      <c r="D413" s="57"/>
      <c r="E413" s="58"/>
      <c r="F413" s="59"/>
      <c r="G413" s="10"/>
      <c r="H413" s="55"/>
      <c r="I413" s="28"/>
      <c r="J413" s="28" t="s">
        <v>646</v>
      </c>
    </row>
    <row r="414" ht="22.5" customHeight="1">
      <c r="A414" s="9"/>
      <c r="B414" s="56"/>
      <c r="C414" s="13" t="str">
        <f>IFERROR(__xludf.DUMMYFUNCTION("IF(B414="""","""",LOWER(REGEXREPLACE(B414,""[^A-Za-z0-9]"",""""))&amp;""-""&amp;TEXT(COUNTIF($B$2:B414,B414),""000""))"),"")</f>
        <v/>
      </c>
      <c r="D414" s="57"/>
      <c r="E414" s="58"/>
      <c r="F414" s="59"/>
      <c r="G414" s="10"/>
      <c r="H414" s="55"/>
      <c r="I414" s="28"/>
      <c r="J414" s="28" t="s">
        <v>646</v>
      </c>
    </row>
    <row r="415" ht="22.5" customHeight="1">
      <c r="A415" s="9"/>
      <c r="B415" s="56"/>
      <c r="C415" s="13" t="str">
        <f>IFERROR(__xludf.DUMMYFUNCTION("IF(B415="""","""",LOWER(REGEXREPLACE(B415,""[^A-Za-z0-9]"",""""))&amp;""-""&amp;TEXT(COUNTIF($B$2:B415,B415),""000""))"),"")</f>
        <v/>
      </c>
      <c r="D415" s="57"/>
      <c r="E415" s="58"/>
      <c r="F415" s="59"/>
      <c r="G415" s="10"/>
      <c r="H415" s="55"/>
      <c r="I415" s="28"/>
      <c r="J415" s="28" t="s">
        <v>646</v>
      </c>
    </row>
    <row r="416" ht="22.5" customHeight="1">
      <c r="A416" s="9"/>
      <c r="B416" s="56"/>
      <c r="C416" s="13" t="str">
        <f>IFERROR(__xludf.DUMMYFUNCTION("IF(B416="""","""",LOWER(REGEXREPLACE(B416,""[^A-Za-z0-9]"",""""))&amp;""-""&amp;TEXT(COUNTIF($B$2:B416,B416),""000""))"),"")</f>
        <v/>
      </c>
      <c r="D416" s="57"/>
      <c r="E416" s="58"/>
      <c r="F416" s="59"/>
      <c r="G416" s="10"/>
      <c r="H416" s="55"/>
      <c r="I416" s="28"/>
      <c r="J416" s="28" t="s">
        <v>646</v>
      </c>
    </row>
    <row r="417" ht="22.5" customHeight="1">
      <c r="A417" s="9"/>
      <c r="B417" s="56"/>
      <c r="C417" s="13" t="str">
        <f>IFERROR(__xludf.DUMMYFUNCTION("IF(B417="""","""",LOWER(REGEXREPLACE(B417,""[^A-Za-z0-9]"",""""))&amp;""-""&amp;TEXT(COUNTIF($B$2:B417,B417),""000""))"),"")</f>
        <v/>
      </c>
      <c r="D417" s="57"/>
      <c r="E417" s="58"/>
      <c r="F417" s="59"/>
      <c r="G417" s="10"/>
      <c r="H417" s="55"/>
      <c r="I417" s="28"/>
      <c r="J417" s="28" t="s">
        <v>646</v>
      </c>
    </row>
    <row r="418" ht="22.5" customHeight="1">
      <c r="A418" s="9"/>
      <c r="B418" s="56"/>
      <c r="C418" s="13" t="str">
        <f>IFERROR(__xludf.DUMMYFUNCTION("IF(B418="""","""",LOWER(REGEXREPLACE(B418,""[^A-Za-z0-9]"",""""))&amp;""-""&amp;TEXT(COUNTIF($B$2:B418,B418),""000""))"),"")</f>
        <v/>
      </c>
      <c r="D418" s="57"/>
      <c r="E418" s="58"/>
      <c r="F418" s="59"/>
      <c r="G418" s="10"/>
      <c r="H418" s="55"/>
      <c r="I418" s="28"/>
      <c r="J418" s="28" t="s">
        <v>646</v>
      </c>
    </row>
    <row r="419" ht="22.5" customHeight="1">
      <c r="A419" s="9"/>
      <c r="B419" s="56"/>
      <c r="C419" s="13" t="str">
        <f>IFERROR(__xludf.DUMMYFUNCTION("IF(B419="""","""",LOWER(REGEXREPLACE(B419,""[^A-Za-z0-9]"",""""))&amp;""-""&amp;TEXT(COUNTIF($B$2:B419,B419),""000""))"),"")</f>
        <v/>
      </c>
      <c r="D419" s="57"/>
      <c r="E419" s="58"/>
      <c r="F419" s="59"/>
      <c r="G419" s="10"/>
      <c r="H419" s="55"/>
      <c r="I419" s="28"/>
      <c r="J419" s="28" t="s">
        <v>646</v>
      </c>
    </row>
    <row r="420" ht="22.5" customHeight="1">
      <c r="A420" s="9"/>
      <c r="B420" s="56"/>
      <c r="C420" s="13" t="str">
        <f>IFERROR(__xludf.DUMMYFUNCTION("IF(B420="""","""",LOWER(REGEXREPLACE(B420,""[^A-Za-z0-9]"",""""))&amp;""-""&amp;TEXT(COUNTIF($B$2:B420,B420),""000""))"),"")</f>
        <v/>
      </c>
      <c r="D420" s="57"/>
      <c r="E420" s="58"/>
      <c r="F420" s="59"/>
      <c r="G420" s="10"/>
      <c r="H420" s="55"/>
      <c r="I420" s="28"/>
      <c r="J420" s="28" t="s">
        <v>646</v>
      </c>
    </row>
    <row r="421" ht="22.5" customHeight="1">
      <c r="A421" s="9"/>
      <c r="B421" s="56"/>
      <c r="C421" s="13" t="str">
        <f>IFERROR(__xludf.DUMMYFUNCTION("IF(B421="""","""",LOWER(REGEXREPLACE(B421,""[^A-Za-z0-9]"",""""))&amp;""-""&amp;TEXT(COUNTIF($B$2:B421,B421),""000""))"),"")</f>
        <v/>
      </c>
      <c r="D421" s="57"/>
      <c r="E421" s="58"/>
      <c r="F421" s="59"/>
      <c r="G421" s="10"/>
      <c r="H421" s="55"/>
      <c r="I421" s="28"/>
      <c r="J421" s="28" t="s">
        <v>646</v>
      </c>
    </row>
    <row r="422" ht="22.5" customHeight="1">
      <c r="A422" s="9"/>
      <c r="B422" s="56"/>
      <c r="C422" s="13" t="str">
        <f>IFERROR(__xludf.DUMMYFUNCTION("IF(B422="""","""",LOWER(REGEXREPLACE(B422,""[^A-Za-z0-9]"",""""))&amp;""-""&amp;TEXT(COUNTIF($B$2:B422,B422),""000""))"),"")</f>
        <v/>
      </c>
      <c r="D422" s="57"/>
      <c r="E422" s="58"/>
      <c r="F422" s="59"/>
      <c r="G422" s="10"/>
      <c r="H422" s="55"/>
      <c r="I422" s="28"/>
      <c r="J422" s="28" t="s">
        <v>646</v>
      </c>
    </row>
    <row r="423" ht="22.5" customHeight="1">
      <c r="A423" s="9"/>
      <c r="B423" s="56"/>
      <c r="C423" s="13" t="str">
        <f>IFERROR(__xludf.DUMMYFUNCTION("IF(B423="""","""",LOWER(REGEXREPLACE(B423,""[^A-Za-z0-9]"",""""))&amp;""-""&amp;TEXT(COUNTIF($B$2:B423,B423),""000""))"),"")</f>
        <v/>
      </c>
      <c r="D423" s="57"/>
      <c r="E423" s="58"/>
      <c r="F423" s="59"/>
      <c r="G423" s="10"/>
      <c r="H423" s="55"/>
      <c r="I423" s="28"/>
      <c r="J423" s="28" t="s">
        <v>646</v>
      </c>
    </row>
    <row r="424" ht="22.5" customHeight="1">
      <c r="A424" s="9"/>
      <c r="B424" s="56"/>
      <c r="C424" s="13" t="str">
        <f>IFERROR(__xludf.DUMMYFUNCTION("IF(B424="""","""",LOWER(REGEXREPLACE(B424,""[^A-Za-z0-9]"",""""))&amp;""-""&amp;TEXT(COUNTIF($B$2:B424,B424),""000""))"),"")</f>
        <v/>
      </c>
      <c r="D424" s="57"/>
      <c r="E424" s="58"/>
      <c r="F424" s="59"/>
      <c r="G424" s="10"/>
      <c r="H424" s="55"/>
      <c r="I424" s="28"/>
      <c r="J424" s="28" t="s">
        <v>646</v>
      </c>
    </row>
    <row r="425" ht="22.5" customHeight="1">
      <c r="A425" s="9"/>
      <c r="B425" s="56"/>
      <c r="C425" s="13" t="str">
        <f>IFERROR(__xludf.DUMMYFUNCTION("IF(B425="""","""",LOWER(REGEXREPLACE(B425,""[^A-Za-z0-9]"",""""))&amp;""-""&amp;TEXT(COUNTIF($B$2:B425,B425),""000""))"),"")</f>
        <v/>
      </c>
      <c r="D425" s="57"/>
      <c r="E425" s="58"/>
      <c r="F425" s="59"/>
      <c r="G425" s="10"/>
      <c r="H425" s="55"/>
      <c r="I425" s="28"/>
      <c r="J425" s="28" t="s">
        <v>646</v>
      </c>
    </row>
    <row r="426" ht="22.5" customHeight="1">
      <c r="A426" s="9"/>
      <c r="B426" s="56"/>
      <c r="C426" s="13" t="str">
        <f>IFERROR(__xludf.DUMMYFUNCTION("IF(B426="""","""",LOWER(REGEXREPLACE(B426,""[^A-Za-z0-9]"",""""))&amp;""-""&amp;TEXT(COUNTIF($B$2:B426,B426),""000""))"),"")</f>
        <v/>
      </c>
      <c r="D426" s="57"/>
      <c r="E426" s="58"/>
      <c r="F426" s="59"/>
      <c r="G426" s="10"/>
      <c r="H426" s="55"/>
      <c r="I426" s="28"/>
      <c r="J426" s="28" t="s">
        <v>646</v>
      </c>
    </row>
    <row r="427" ht="22.5" customHeight="1">
      <c r="A427" s="9"/>
      <c r="B427" s="56"/>
      <c r="C427" s="13" t="str">
        <f>IFERROR(__xludf.DUMMYFUNCTION("IF(B427="""","""",LOWER(REGEXREPLACE(B427,""[^A-Za-z0-9]"",""""))&amp;""-""&amp;TEXT(COUNTIF($B$2:B427,B427),""000""))"),"")</f>
        <v/>
      </c>
      <c r="D427" s="57"/>
      <c r="E427" s="58"/>
      <c r="F427" s="59"/>
      <c r="G427" s="10"/>
      <c r="H427" s="55"/>
      <c r="I427" s="28"/>
      <c r="J427" s="28" t="s">
        <v>646</v>
      </c>
    </row>
    <row r="428" ht="22.5" customHeight="1">
      <c r="A428" s="9"/>
      <c r="B428" s="56"/>
      <c r="C428" s="13" t="str">
        <f>IFERROR(__xludf.DUMMYFUNCTION("IF(B428="""","""",LOWER(REGEXREPLACE(B428,""[^A-Za-z0-9]"",""""))&amp;""-""&amp;TEXT(COUNTIF($B$2:B428,B428),""000""))"),"")</f>
        <v/>
      </c>
      <c r="D428" s="57"/>
      <c r="E428" s="58"/>
      <c r="F428" s="59"/>
      <c r="G428" s="10"/>
      <c r="H428" s="55"/>
      <c r="I428" s="28"/>
      <c r="J428" s="28" t="s">
        <v>646</v>
      </c>
    </row>
    <row r="429" ht="22.5" customHeight="1">
      <c r="A429" s="9"/>
      <c r="B429" s="56"/>
      <c r="C429" s="13" t="str">
        <f>IFERROR(__xludf.DUMMYFUNCTION("IF(B429="""","""",LOWER(REGEXREPLACE(B429,""[^A-Za-z0-9]"",""""))&amp;""-""&amp;TEXT(COUNTIF($B$2:B429,B429),""000""))"),"")</f>
        <v/>
      </c>
      <c r="D429" s="57"/>
      <c r="E429" s="58"/>
      <c r="F429" s="59"/>
      <c r="G429" s="10"/>
      <c r="H429" s="55"/>
      <c r="I429" s="28"/>
      <c r="J429" s="28" t="s">
        <v>646</v>
      </c>
    </row>
    <row r="430" ht="22.5" customHeight="1">
      <c r="A430" s="9"/>
      <c r="B430" s="56"/>
      <c r="C430" s="13" t="str">
        <f>IFERROR(__xludf.DUMMYFUNCTION("IF(B430="""","""",LOWER(REGEXREPLACE(B430,""[^A-Za-z0-9]"",""""))&amp;""-""&amp;TEXT(COUNTIF($B$2:B430,B430),""000""))"),"")</f>
        <v/>
      </c>
      <c r="D430" s="57"/>
      <c r="E430" s="58"/>
      <c r="F430" s="59"/>
      <c r="G430" s="10"/>
      <c r="H430" s="55"/>
      <c r="I430" s="28"/>
      <c r="J430" s="28" t="s">
        <v>646</v>
      </c>
    </row>
    <row r="431" ht="22.5" customHeight="1">
      <c r="A431" s="9"/>
      <c r="B431" s="56"/>
      <c r="C431" s="13" t="str">
        <f>IFERROR(__xludf.DUMMYFUNCTION("IF(B431="""","""",LOWER(REGEXREPLACE(B431,""[^A-Za-z0-9]"",""""))&amp;""-""&amp;TEXT(COUNTIF($B$2:B431,B431),""000""))"),"")</f>
        <v/>
      </c>
      <c r="D431" s="57"/>
      <c r="E431" s="58"/>
      <c r="F431" s="59"/>
      <c r="G431" s="10"/>
      <c r="H431" s="55"/>
      <c r="I431" s="28"/>
      <c r="J431" s="28" t="s">
        <v>646</v>
      </c>
    </row>
    <row r="432" ht="22.5" customHeight="1">
      <c r="A432" s="9"/>
      <c r="B432" s="56"/>
      <c r="C432" s="13" t="str">
        <f>IFERROR(__xludf.DUMMYFUNCTION("IF(B432="""","""",LOWER(REGEXREPLACE(B432,""[^A-Za-z0-9]"",""""))&amp;""-""&amp;TEXT(COUNTIF($B$2:B432,B432),""000""))"),"")</f>
        <v/>
      </c>
      <c r="D432" s="57"/>
      <c r="E432" s="58"/>
      <c r="F432" s="59"/>
      <c r="G432" s="10"/>
      <c r="H432" s="55"/>
      <c r="I432" s="28"/>
      <c r="J432" s="28" t="s">
        <v>646</v>
      </c>
    </row>
    <row r="433" ht="22.5" customHeight="1">
      <c r="A433" s="9"/>
      <c r="B433" s="56"/>
      <c r="C433" s="13" t="str">
        <f>IFERROR(__xludf.DUMMYFUNCTION("IF(B433="""","""",LOWER(REGEXREPLACE(B433,""[^A-Za-z0-9]"",""""))&amp;""-""&amp;TEXT(COUNTIF($B$2:B433,B433),""000""))"),"")</f>
        <v/>
      </c>
      <c r="D433" s="57"/>
      <c r="E433" s="58"/>
      <c r="F433" s="59"/>
      <c r="G433" s="10"/>
      <c r="H433" s="55"/>
      <c r="I433" s="28"/>
      <c r="J433" s="28" t="s">
        <v>646</v>
      </c>
    </row>
    <row r="434" ht="22.5" customHeight="1">
      <c r="A434" s="9"/>
      <c r="B434" s="56"/>
      <c r="C434" s="13" t="str">
        <f>IFERROR(__xludf.DUMMYFUNCTION("IF(B434="""","""",LOWER(REGEXREPLACE(B434,""[^A-Za-z0-9]"",""""))&amp;""-""&amp;TEXT(COUNTIF($B$2:B434,B434),""000""))"),"")</f>
        <v/>
      </c>
      <c r="D434" s="57"/>
      <c r="E434" s="58"/>
      <c r="F434" s="59"/>
      <c r="G434" s="10"/>
      <c r="H434" s="55"/>
      <c r="I434" s="28"/>
      <c r="J434" s="28" t="s">
        <v>646</v>
      </c>
    </row>
    <row r="435" ht="22.5" customHeight="1">
      <c r="A435" s="9"/>
      <c r="B435" s="56"/>
      <c r="C435" s="13" t="str">
        <f>IFERROR(__xludf.DUMMYFUNCTION("IF(B435="""","""",LOWER(REGEXREPLACE(B435,""[^A-Za-z0-9]"",""""))&amp;""-""&amp;TEXT(COUNTIF($B$2:B435,B435),""000""))"),"")</f>
        <v/>
      </c>
      <c r="D435" s="57"/>
      <c r="E435" s="58"/>
      <c r="F435" s="59"/>
      <c r="G435" s="10"/>
      <c r="H435" s="55"/>
      <c r="I435" s="28"/>
      <c r="J435" s="28" t="s">
        <v>646</v>
      </c>
    </row>
    <row r="436" ht="22.5" customHeight="1">
      <c r="A436" s="9"/>
      <c r="B436" s="56"/>
      <c r="C436" s="13" t="str">
        <f>IFERROR(__xludf.DUMMYFUNCTION("IF(B436="""","""",LOWER(REGEXREPLACE(B436,""[^A-Za-z0-9]"",""""))&amp;""-""&amp;TEXT(COUNTIF($B$2:B436,B436),""000""))"),"")</f>
        <v/>
      </c>
      <c r="D436" s="57"/>
      <c r="E436" s="58"/>
      <c r="F436" s="59"/>
      <c r="G436" s="10"/>
      <c r="H436" s="55"/>
      <c r="I436" s="28"/>
      <c r="J436" s="28" t="s">
        <v>646</v>
      </c>
    </row>
    <row r="437" ht="22.5" customHeight="1">
      <c r="A437" s="9"/>
      <c r="B437" s="56"/>
      <c r="C437" s="13" t="str">
        <f>IFERROR(__xludf.DUMMYFUNCTION("IF(B437="""","""",LOWER(REGEXREPLACE(B437,""[^A-Za-z0-9]"",""""))&amp;""-""&amp;TEXT(COUNTIF($B$2:B437,B437),""000""))"),"")</f>
        <v/>
      </c>
      <c r="D437" s="57"/>
      <c r="E437" s="58"/>
      <c r="F437" s="59"/>
      <c r="G437" s="10"/>
      <c r="H437" s="55"/>
      <c r="I437" s="28"/>
      <c r="J437" s="28" t="s">
        <v>646</v>
      </c>
    </row>
    <row r="438" ht="22.5" customHeight="1">
      <c r="A438" s="9"/>
      <c r="B438" s="56"/>
      <c r="C438" s="13" t="str">
        <f>IFERROR(__xludf.DUMMYFUNCTION("IF(B438="""","""",LOWER(REGEXREPLACE(B438,""[^A-Za-z0-9]"",""""))&amp;""-""&amp;TEXT(COUNTIF($B$2:B438,B438),""000""))"),"")</f>
        <v/>
      </c>
      <c r="D438" s="57"/>
      <c r="E438" s="58"/>
      <c r="F438" s="59"/>
      <c r="G438" s="10"/>
      <c r="H438" s="55"/>
      <c r="I438" s="28"/>
      <c r="J438" s="28" t="s">
        <v>646</v>
      </c>
    </row>
    <row r="439" ht="22.5" customHeight="1">
      <c r="A439" s="9"/>
      <c r="B439" s="56"/>
      <c r="C439" s="13" t="str">
        <f>IFERROR(__xludf.DUMMYFUNCTION("IF(B439="""","""",LOWER(REGEXREPLACE(B439,""[^A-Za-z0-9]"",""""))&amp;""-""&amp;TEXT(COUNTIF($B$2:B439,B439),""000""))"),"")</f>
        <v/>
      </c>
      <c r="D439" s="57"/>
      <c r="E439" s="58"/>
      <c r="F439" s="59"/>
      <c r="G439" s="10"/>
      <c r="H439" s="55"/>
      <c r="I439" s="28"/>
      <c r="J439" s="28" t="s">
        <v>646</v>
      </c>
    </row>
    <row r="440" ht="22.5" customHeight="1">
      <c r="A440" s="9"/>
      <c r="B440" s="56"/>
      <c r="C440" s="13" t="str">
        <f>IFERROR(__xludf.DUMMYFUNCTION("IF(B440="""","""",LOWER(REGEXREPLACE(B440,""[^A-Za-z0-9]"",""""))&amp;""-""&amp;TEXT(COUNTIF($B$2:B440,B440),""000""))"),"")</f>
        <v/>
      </c>
      <c r="D440" s="57"/>
      <c r="E440" s="58"/>
      <c r="F440" s="59"/>
      <c r="G440" s="10"/>
      <c r="H440" s="55"/>
      <c r="I440" s="28"/>
      <c r="J440" s="28" t="s">
        <v>646</v>
      </c>
    </row>
    <row r="441" ht="22.5" customHeight="1">
      <c r="A441" s="9"/>
      <c r="B441" s="56"/>
      <c r="C441" s="13" t="str">
        <f>IFERROR(__xludf.DUMMYFUNCTION("IF(B441="""","""",LOWER(REGEXREPLACE(B441,""[^A-Za-z0-9]"",""""))&amp;""-""&amp;TEXT(COUNTIF($B$2:B441,B441),""000""))"),"")</f>
        <v/>
      </c>
      <c r="D441" s="57"/>
      <c r="E441" s="58"/>
      <c r="F441" s="59"/>
      <c r="G441" s="10"/>
      <c r="H441" s="55"/>
      <c r="I441" s="28"/>
      <c r="J441" s="28" t="s">
        <v>646</v>
      </c>
    </row>
    <row r="442" ht="22.5" customHeight="1">
      <c r="A442" s="9"/>
      <c r="B442" s="56"/>
      <c r="C442" s="13" t="str">
        <f>IFERROR(__xludf.DUMMYFUNCTION("IF(B442="""","""",LOWER(REGEXREPLACE(B442,""[^A-Za-z0-9]"",""""))&amp;""-""&amp;TEXT(COUNTIF($B$2:B442,B442),""000""))"),"")</f>
        <v/>
      </c>
      <c r="D442" s="57"/>
      <c r="E442" s="58"/>
      <c r="F442" s="59"/>
      <c r="G442" s="10"/>
      <c r="H442" s="55"/>
      <c r="I442" s="28"/>
      <c r="J442" s="28" t="s">
        <v>646</v>
      </c>
    </row>
    <row r="443" ht="22.5" customHeight="1">
      <c r="A443" s="9"/>
      <c r="B443" s="56"/>
      <c r="C443" s="13" t="str">
        <f>IFERROR(__xludf.DUMMYFUNCTION("IF(B443="""","""",LOWER(REGEXREPLACE(B443,""[^A-Za-z0-9]"",""""))&amp;""-""&amp;TEXT(COUNTIF($B$2:B443,B443),""000""))"),"")</f>
        <v/>
      </c>
      <c r="D443" s="57"/>
      <c r="E443" s="58"/>
      <c r="F443" s="59"/>
      <c r="G443" s="10"/>
      <c r="H443" s="55"/>
      <c r="I443" s="28"/>
      <c r="J443" s="28" t="s">
        <v>646</v>
      </c>
    </row>
    <row r="444" ht="22.5" customHeight="1">
      <c r="A444" s="9"/>
      <c r="B444" s="56"/>
      <c r="C444" s="13" t="str">
        <f>IFERROR(__xludf.DUMMYFUNCTION("IF(B444="""","""",LOWER(REGEXREPLACE(B444,""[^A-Za-z0-9]"",""""))&amp;""-""&amp;TEXT(COUNTIF($B$2:B444,B444),""000""))"),"")</f>
        <v/>
      </c>
      <c r="D444" s="57"/>
      <c r="E444" s="58"/>
      <c r="F444" s="59"/>
      <c r="G444" s="10"/>
      <c r="H444" s="55"/>
      <c r="I444" s="28"/>
      <c r="J444" s="28" t="s">
        <v>646</v>
      </c>
    </row>
    <row r="445" ht="22.5" customHeight="1">
      <c r="A445" s="9"/>
      <c r="B445" s="56"/>
      <c r="C445" s="13" t="str">
        <f>IFERROR(__xludf.DUMMYFUNCTION("IF(B445="""","""",LOWER(REGEXREPLACE(B445,""[^A-Za-z0-9]"",""""))&amp;""-""&amp;TEXT(COUNTIF($B$2:B445,B445),""000""))"),"")</f>
        <v/>
      </c>
      <c r="D445" s="57"/>
      <c r="E445" s="58"/>
      <c r="F445" s="59"/>
      <c r="G445" s="10"/>
      <c r="H445" s="55"/>
      <c r="I445" s="28"/>
      <c r="J445" s="28" t="s">
        <v>646</v>
      </c>
    </row>
    <row r="446" ht="22.5" customHeight="1">
      <c r="A446" s="9"/>
      <c r="B446" s="56"/>
      <c r="C446" s="13" t="str">
        <f>IFERROR(__xludf.DUMMYFUNCTION("IF(B446="""","""",LOWER(REGEXREPLACE(B446,""[^A-Za-z0-9]"",""""))&amp;""-""&amp;TEXT(COUNTIF($B$2:B446,B446),""000""))"),"")</f>
        <v/>
      </c>
      <c r="D446" s="57"/>
      <c r="E446" s="58"/>
      <c r="F446" s="59"/>
      <c r="G446" s="10"/>
      <c r="H446" s="55"/>
      <c r="I446" s="28"/>
      <c r="J446" s="28" t="s">
        <v>646</v>
      </c>
    </row>
    <row r="447" ht="22.5" customHeight="1">
      <c r="A447" s="9"/>
      <c r="B447" s="56"/>
      <c r="C447" s="13" t="str">
        <f>IFERROR(__xludf.DUMMYFUNCTION("IF(B447="""","""",LOWER(REGEXREPLACE(B447,""[^A-Za-z0-9]"",""""))&amp;""-""&amp;TEXT(COUNTIF($B$2:B447,B447),""000""))"),"")</f>
        <v/>
      </c>
      <c r="D447" s="57"/>
      <c r="E447" s="58"/>
      <c r="F447" s="59"/>
      <c r="G447" s="10"/>
      <c r="H447" s="55"/>
      <c r="I447" s="28"/>
      <c r="J447" s="28" t="s">
        <v>646</v>
      </c>
    </row>
    <row r="448" ht="22.5" customHeight="1">
      <c r="A448" s="9"/>
      <c r="B448" s="56"/>
      <c r="C448" s="13" t="str">
        <f>IFERROR(__xludf.DUMMYFUNCTION("IF(B448="""","""",LOWER(REGEXREPLACE(B448,""[^A-Za-z0-9]"",""""))&amp;""-""&amp;TEXT(COUNTIF($B$2:B448,B448),""000""))"),"")</f>
        <v/>
      </c>
      <c r="D448" s="57"/>
      <c r="E448" s="58"/>
      <c r="F448" s="59"/>
      <c r="G448" s="10"/>
      <c r="H448" s="55"/>
      <c r="I448" s="28"/>
      <c r="J448" s="28" t="s">
        <v>646</v>
      </c>
    </row>
    <row r="449" ht="22.5" customHeight="1">
      <c r="A449" s="9"/>
      <c r="B449" s="56"/>
      <c r="C449" s="13" t="str">
        <f>IFERROR(__xludf.DUMMYFUNCTION("IF(B449="""","""",LOWER(REGEXREPLACE(B449,""[^A-Za-z0-9]"",""""))&amp;""-""&amp;TEXT(COUNTIF($B$2:B449,B449),""000""))"),"")</f>
        <v/>
      </c>
      <c r="D449" s="57"/>
      <c r="E449" s="58"/>
      <c r="F449" s="59"/>
      <c r="G449" s="10"/>
      <c r="H449" s="55"/>
      <c r="I449" s="28"/>
      <c r="J449" s="28" t="s">
        <v>646</v>
      </c>
    </row>
    <row r="450" ht="22.5" customHeight="1">
      <c r="A450" s="9"/>
      <c r="B450" s="56"/>
      <c r="C450" s="13" t="str">
        <f>IFERROR(__xludf.DUMMYFUNCTION("IF(B450="""","""",LOWER(REGEXREPLACE(B450,""[^A-Za-z0-9]"",""""))&amp;""-""&amp;TEXT(COUNTIF($B$2:B450,B450),""000""))"),"")</f>
        <v/>
      </c>
      <c r="D450" s="57"/>
      <c r="E450" s="58"/>
      <c r="F450" s="59"/>
      <c r="G450" s="10"/>
      <c r="H450" s="55"/>
      <c r="I450" s="28"/>
      <c r="J450" s="28" t="s">
        <v>646</v>
      </c>
    </row>
    <row r="451" ht="22.5" customHeight="1">
      <c r="A451" s="9"/>
      <c r="B451" s="56"/>
      <c r="C451" s="13" t="str">
        <f>IFERROR(__xludf.DUMMYFUNCTION("IF(B451="""","""",LOWER(REGEXREPLACE(B451,""[^A-Za-z0-9]"",""""))&amp;""-""&amp;TEXT(COUNTIF($B$2:B451,B451),""000""))"),"")</f>
        <v/>
      </c>
      <c r="D451" s="57"/>
      <c r="E451" s="58"/>
      <c r="F451" s="59"/>
      <c r="G451" s="10"/>
      <c r="H451" s="55"/>
      <c r="I451" s="28"/>
      <c r="J451" s="28" t="s">
        <v>646</v>
      </c>
    </row>
    <row r="452" ht="22.5" customHeight="1">
      <c r="A452" s="9"/>
      <c r="B452" s="56"/>
      <c r="C452" s="13" t="str">
        <f>IFERROR(__xludf.DUMMYFUNCTION("IF(B452="""","""",LOWER(REGEXREPLACE(B452,""[^A-Za-z0-9]"",""""))&amp;""-""&amp;TEXT(COUNTIF($B$2:B452,B452),""000""))"),"")</f>
        <v/>
      </c>
      <c r="D452" s="57"/>
      <c r="E452" s="58"/>
      <c r="F452" s="59"/>
      <c r="G452" s="10"/>
      <c r="H452" s="55"/>
      <c r="I452" s="28"/>
      <c r="J452" s="28" t="s">
        <v>646</v>
      </c>
    </row>
    <row r="453" ht="22.5" customHeight="1">
      <c r="A453" s="9"/>
      <c r="B453" s="56"/>
      <c r="C453" s="13" t="str">
        <f>IFERROR(__xludf.DUMMYFUNCTION("IF(B453="""","""",LOWER(REGEXREPLACE(B453,""[^A-Za-z0-9]"",""""))&amp;""-""&amp;TEXT(COUNTIF($B$2:B453,B453),""000""))"),"")</f>
        <v/>
      </c>
      <c r="D453" s="57"/>
      <c r="E453" s="58"/>
      <c r="F453" s="59"/>
      <c r="G453" s="10"/>
      <c r="H453" s="55"/>
      <c r="I453" s="28"/>
      <c r="J453" s="28" t="s">
        <v>646</v>
      </c>
    </row>
    <row r="454" ht="22.5" customHeight="1">
      <c r="A454" s="9"/>
      <c r="B454" s="56"/>
      <c r="C454" s="13" t="str">
        <f>IFERROR(__xludf.DUMMYFUNCTION("IF(B454="""","""",LOWER(REGEXREPLACE(B454,""[^A-Za-z0-9]"",""""))&amp;""-""&amp;TEXT(COUNTIF($B$2:B454,B454),""000""))"),"")</f>
        <v/>
      </c>
      <c r="D454" s="57"/>
      <c r="E454" s="58"/>
      <c r="F454" s="59"/>
      <c r="G454" s="10"/>
      <c r="H454" s="55"/>
      <c r="I454" s="28"/>
      <c r="J454" s="28" t="s">
        <v>646</v>
      </c>
    </row>
    <row r="455" ht="22.5" customHeight="1">
      <c r="A455" s="9"/>
      <c r="B455" s="56"/>
      <c r="C455" s="13" t="str">
        <f>IFERROR(__xludf.DUMMYFUNCTION("IF(B455="""","""",LOWER(REGEXREPLACE(B455,""[^A-Za-z0-9]"",""""))&amp;""-""&amp;TEXT(COUNTIF($B$2:B455,B455),""000""))"),"")</f>
        <v/>
      </c>
      <c r="D455" s="57"/>
      <c r="E455" s="58"/>
      <c r="F455" s="59"/>
      <c r="G455" s="10"/>
      <c r="H455" s="55"/>
      <c r="I455" s="28"/>
      <c r="J455" s="28" t="s">
        <v>646</v>
      </c>
    </row>
    <row r="456" ht="22.5" customHeight="1">
      <c r="A456" s="9"/>
      <c r="B456" s="56"/>
      <c r="C456" s="13" t="str">
        <f>IFERROR(__xludf.DUMMYFUNCTION("IF(B456="""","""",LOWER(REGEXREPLACE(B456,""[^A-Za-z0-9]"",""""))&amp;""-""&amp;TEXT(COUNTIF($B$2:B456,B456),""000""))"),"")</f>
        <v/>
      </c>
      <c r="D456" s="57"/>
      <c r="E456" s="58"/>
      <c r="F456" s="59"/>
      <c r="G456" s="10"/>
      <c r="H456" s="55"/>
      <c r="I456" s="28"/>
      <c r="J456" s="28" t="s">
        <v>646</v>
      </c>
    </row>
    <row r="457" ht="22.5" customHeight="1">
      <c r="A457" s="9"/>
      <c r="B457" s="56"/>
      <c r="C457" s="13" t="str">
        <f>IFERROR(__xludf.DUMMYFUNCTION("IF(B457="""","""",LOWER(REGEXREPLACE(B457,""[^A-Za-z0-9]"",""""))&amp;""-""&amp;TEXT(COUNTIF($B$2:B457,B457),""000""))"),"")</f>
        <v/>
      </c>
      <c r="D457" s="57"/>
      <c r="E457" s="58"/>
      <c r="F457" s="59"/>
      <c r="G457" s="10"/>
      <c r="H457" s="55"/>
      <c r="I457" s="28"/>
      <c r="J457" s="28" t="s">
        <v>646</v>
      </c>
    </row>
    <row r="458" ht="22.5" customHeight="1">
      <c r="A458" s="9"/>
      <c r="B458" s="56"/>
      <c r="C458" s="13" t="str">
        <f>IFERROR(__xludf.DUMMYFUNCTION("IF(B458="""","""",LOWER(REGEXREPLACE(B458,""[^A-Za-z0-9]"",""""))&amp;""-""&amp;TEXT(COUNTIF($B$2:B458,B458),""000""))"),"")</f>
        <v/>
      </c>
      <c r="D458" s="57"/>
      <c r="E458" s="58"/>
      <c r="F458" s="59"/>
      <c r="G458" s="10"/>
      <c r="H458" s="55"/>
      <c r="I458" s="28"/>
      <c r="J458" s="28" t="s">
        <v>646</v>
      </c>
    </row>
    <row r="459" ht="22.5" customHeight="1">
      <c r="A459" s="9"/>
      <c r="B459" s="56"/>
      <c r="C459" s="13" t="str">
        <f>IFERROR(__xludf.DUMMYFUNCTION("IF(B459="""","""",LOWER(REGEXREPLACE(B459,""[^A-Za-z0-9]"",""""))&amp;""-""&amp;TEXT(COUNTIF($B$2:B459,B459),""000""))"),"")</f>
        <v/>
      </c>
      <c r="D459" s="57"/>
      <c r="E459" s="58"/>
      <c r="F459" s="59"/>
      <c r="G459" s="10"/>
      <c r="H459" s="55"/>
      <c r="I459" s="28"/>
      <c r="J459" s="28" t="s">
        <v>646</v>
      </c>
    </row>
    <row r="460" ht="22.5" customHeight="1">
      <c r="A460" s="9"/>
      <c r="B460" s="56"/>
      <c r="C460" s="13" t="str">
        <f>IFERROR(__xludf.DUMMYFUNCTION("IF(B460="""","""",LOWER(REGEXREPLACE(B460,""[^A-Za-z0-9]"",""""))&amp;""-""&amp;TEXT(COUNTIF($B$2:B460,B460),""000""))"),"")</f>
        <v/>
      </c>
      <c r="D460" s="57"/>
      <c r="E460" s="58"/>
      <c r="F460" s="59"/>
      <c r="G460" s="10"/>
      <c r="H460" s="55"/>
      <c r="I460" s="28"/>
      <c r="J460" s="28" t="s">
        <v>646</v>
      </c>
    </row>
    <row r="461" ht="22.5" customHeight="1">
      <c r="A461" s="9"/>
      <c r="B461" s="56"/>
      <c r="C461" s="13" t="str">
        <f>IFERROR(__xludf.DUMMYFUNCTION("IF(B461="""","""",LOWER(REGEXREPLACE(B461,""[^A-Za-z0-9]"",""""))&amp;""-""&amp;TEXT(COUNTIF($B$2:B461,B461),""000""))"),"")</f>
        <v/>
      </c>
      <c r="D461" s="57"/>
      <c r="E461" s="58"/>
      <c r="F461" s="59"/>
      <c r="G461" s="10"/>
      <c r="H461" s="55"/>
      <c r="I461" s="28"/>
      <c r="J461" s="28" t="s">
        <v>646</v>
      </c>
    </row>
    <row r="462" ht="22.5" customHeight="1">
      <c r="A462" s="9"/>
      <c r="B462" s="56"/>
      <c r="C462" s="13" t="str">
        <f>IFERROR(__xludf.DUMMYFUNCTION("IF(B462="""","""",LOWER(REGEXREPLACE(B462,""[^A-Za-z0-9]"",""""))&amp;""-""&amp;TEXT(COUNTIF($B$2:B462,B462),""000""))"),"")</f>
        <v/>
      </c>
      <c r="D462" s="57"/>
      <c r="E462" s="58"/>
      <c r="F462" s="59"/>
      <c r="G462" s="10"/>
      <c r="H462" s="55"/>
      <c r="I462" s="28"/>
      <c r="J462" s="28" t="s">
        <v>646</v>
      </c>
    </row>
    <row r="463" ht="22.5" customHeight="1">
      <c r="A463" s="9"/>
      <c r="B463" s="56"/>
      <c r="C463" s="13" t="str">
        <f>IFERROR(__xludf.DUMMYFUNCTION("IF(B463="""","""",LOWER(REGEXREPLACE(B463,""[^A-Za-z0-9]"",""""))&amp;""-""&amp;TEXT(COUNTIF($B$2:B463,B463),""000""))"),"")</f>
        <v/>
      </c>
      <c r="D463" s="57"/>
      <c r="E463" s="58"/>
      <c r="F463" s="59"/>
      <c r="G463" s="10"/>
      <c r="H463" s="55"/>
      <c r="I463" s="28"/>
      <c r="J463" s="28" t="s">
        <v>646</v>
      </c>
    </row>
    <row r="464" ht="22.5" customHeight="1">
      <c r="A464" s="9"/>
      <c r="B464" s="56"/>
      <c r="C464" s="13" t="str">
        <f>IFERROR(__xludf.DUMMYFUNCTION("IF(B464="""","""",LOWER(REGEXREPLACE(B464,""[^A-Za-z0-9]"",""""))&amp;""-""&amp;TEXT(COUNTIF($B$2:B464,B464),""000""))"),"")</f>
        <v/>
      </c>
      <c r="D464" s="57"/>
      <c r="E464" s="58"/>
      <c r="F464" s="59"/>
      <c r="G464" s="10"/>
      <c r="H464" s="55"/>
      <c r="I464" s="28"/>
      <c r="J464" s="28" t="s">
        <v>646</v>
      </c>
    </row>
    <row r="465" ht="22.5" customHeight="1">
      <c r="A465" s="9"/>
      <c r="B465" s="56"/>
      <c r="C465" s="13" t="str">
        <f>IFERROR(__xludf.DUMMYFUNCTION("IF(B465="""","""",LOWER(REGEXREPLACE(B465,""[^A-Za-z0-9]"",""""))&amp;""-""&amp;TEXT(COUNTIF($B$2:B465,B465),""000""))"),"")</f>
        <v/>
      </c>
      <c r="D465" s="57"/>
      <c r="E465" s="58"/>
      <c r="F465" s="59"/>
      <c r="G465" s="10"/>
      <c r="H465" s="55"/>
      <c r="I465" s="28"/>
      <c r="J465" s="28" t="s">
        <v>646</v>
      </c>
    </row>
    <row r="466" ht="22.5" customHeight="1">
      <c r="A466" s="9"/>
      <c r="B466" s="56"/>
      <c r="C466" s="13" t="str">
        <f>IFERROR(__xludf.DUMMYFUNCTION("IF(B466="""","""",LOWER(REGEXREPLACE(B466,""[^A-Za-z0-9]"",""""))&amp;""-""&amp;TEXT(COUNTIF($B$2:B466,B466),""000""))"),"")</f>
        <v/>
      </c>
      <c r="D466" s="57"/>
      <c r="E466" s="58"/>
      <c r="F466" s="59"/>
      <c r="G466" s="10"/>
      <c r="H466" s="55"/>
      <c r="I466" s="28"/>
      <c r="J466" s="28" t="s">
        <v>646</v>
      </c>
    </row>
    <row r="467" ht="22.5" customHeight="1">
      <c r="A467" s="9"/>
      <c r="B467" s="56"/>
      <c r="C467" s="13" t="str">
        <f>IFERROR(__xludf.DUMMYFUNCTION("IF(B467="""","""",LOWER(REGEXREPLACE(B467,""[^A-Za-z0-9]"",""""))&amp;""-""&amp;TEXT(COUNTIF($B$2:B467,B467),""000""))"),"")</f>
        <v/>
      </c>
      <c r="D467" s="57"/>
      <c r="E467" s="58"/>
      <c r="F467" s="59"/>
      <c r="G467" s="10"/>
      <c r="H467" s="55"/>
      <c r="I467" s="28"/>
      <c r="J467" s="28" t="s">
        <v>646</v>
      </c>
    </row>
    <row r="468" ht="22.5" customHeight="1">
      <c r="A468" s="9"/>
      <c r="B468" s="56"/>
      <c r="C468" s="13" t="str">
        <f>IFERROR(__xludf.DUMMYFUNCTION("IF(B468="""","""",LOWER(REGEXREPLACE(B468,""[^A-Za-z0-9]"",""""))&amp;""-""&amp;TEXT(COUNTIF($B$2:B468,B468),""000""))"),"")</f>
        <v/>
      </c>
      <c r="D468" s="57"/>
      <c r="E468" s="58"/>
      <c r="F468" s="59"/>
      <c r="G468" s="10"/>
      <c r="H468" s="55"/>
      <c r="I468" s="28"/>
      <c r="J468" s="28" t="s">
        <v>646</v>
      </c>
    </row>
    <row r="469" ht="22.5" customHeight="1">
      <c r="A469" s="9"/>
      <c r="B469" s="56"/>
      <c r="C469" s="13" t="str">
        <f>IFERROR(__xludf.DUMMYFUNCTION("IF(B469="""","""",LOWER(REGEXREPLACE(B469,""[^A-Za-z0-9]"",""""))&amp;""-""&amp;TEXT(COUNTIF($B$2:B469,B469),""000""))"),"")</f>
        <v/>
      </c>
      <c r="D469" s="57"/>
      <c r="E469" s="58"/>
      <c r="F469" s="59"/>
      <c r="G469" s="10"/>
      <c r="H469" s="55"/>
      <c r="I469" s="28"/>
      <c r="J469" s="28" t="s">
        <v>646</v>
      </c>
    </row>
    <row r="470" ht="22.5" customHeight="1">
      <c r="A470" s="9"/>
      <c r="B470" s="56"/>
      <c r="C470" s="13" t="str">
        <f>IFERROR(__xludf.DUMMYFUNCTION("IF(B470="""","""",LOWER(REGEXREPLACE(B470,""[^A-Za-z0-9]"",""""))&amp;""-""&amp;TEXT(COUNTIF($B$2:B470,B470),""000""))"),"")</f>
        <v/>
      </c>
      <c r="D470" s="57"/>
      <c r="E470" s="58"/>
      <c r="F470" s="59"/>
      <c r="G470" s="10"/>
      <c r="H470" s="55"/>
      <c r="I470" s="28"/>
      <c r="J470" s="28" t="s">
        <v>646</v>
      </c>
    </row>
    <row r="471" ht="22.5" customHeight="1">
      <c r="A471" s="9"/>
      <c r="B471" s="56"/>
      <c r="C471" s="13" t="str">
        <f>IFERROR(__xludf.DUMMYFUNCTION("IF(B471="""","""",LOWER(REGEXREPLACE(B471,""[^A-Za-z0-9]"",""""))&amp;""-""&amp;TEXT(COUNTIF($B$2:B471,B471),""000""))"),"")</f>
        <v/>
      </c>
      <c r="D471" s="57"/>
      <c r="E471" s="58"/>
      <c r="F471" s="59"/>
      <c r="G471" s="10"/>
      <c r="H471" s="55"/>
      <c r="I471" s="28"/>
      <c r="J471" s="28" t="s">
        <v>646</v>
      </c>
    </row>
    <row r="472" ht="22.5" customHeight="1">
      <c r="A472" s="9"/>
      <c r="B472" s="56"/>
      <c r="C472" s="13" t="str">
        <f>IFERROR(__xludf.DUMMYFUNCTION("IF(B472="""","""",LOWER(REGEXREPLACE(B472,""[^A-Za-z0-9]"",""""))&amp;""-""&amp;TEXT(COUNTIF($B$2:B472,B472),""000""))"),"")</f>
        <v/>
      </c>
      <c r="D472" s="57"/>
      <c r="E472" s="58"/>
      <c r="F472" s="59"/>
      <c r="G472" s="10"/>
      <c r="H472" s="55"/>
      <c r="I472" s="28"/>
      <c r="J472" s="28" t="s">
        <v>646</v>
      </c>
    </row>
    <row r="473" ht="22.5" customHeight="1">
      <c r="A473" s="9"/>
      <c r="B473" s="56"/>
      <c r="C473" s="13" t="str">
        <f>IFERROR(__xludf.DUMMYFUNCTION("IF(B473="""","""",LOWER(REGEXREPLACE(B473,""[^A-Za-z0-9]"",""""))&amp;""-""&amp;TEXT(COUNTIF($B$2:B473,B473),""000""))"),"")</f>
        <v/>
      </c>
      <c r="D473" s="57"/>
      <c r="E473" s="58"/>
      <c r="F473" s="59"/>
      <c r="G473" s="10"/>
      <c r="H473" s="55"/>
      <c r="I473" s="28"/>
      <c r="J473" s="28" t="s">
        <v>646</v>
      </c>
    </row>
    <row r="474" ht="22.5" customHeight="1">
      <c r="A474" s="9"/>
      <c r="B474" s="56"/>
      <c r="C474" s="13" t="str">
        <f>IFERROR(__xludf.DUMMYFUNCTION("IF(B474="""","""",LOWER(REGEXREPLACE(B474,""[^A-Za-z0-9]"",""""))&amp;""-""&amp;TEXT(COUNTIF($B$2:B474,B474),""000""))"),"")</f>
        <v/>
      </c>
      <c r="D474" s="57"/>
      <c r="E474" s="58"/>
      <c r="F474" s="59"/>
      <c r="G474" s="10"/>
      <c r="H474" s="55"/>
      <c r="I474" s="28"/>
      <c r="J474" s="28" t="s">
        <v>646</v>
      </c>
    </row>
    <row r="475" ht="22.5" customHeight="1">
      <c r="A475" s="9"/>
      <c r="B475" s="56"/>
      <c r="C475" s="13" t="str">
        <f>IFERROR(__xludf.DUMMYFUNCTION("IF(B475="""","""",LOWER(REGEXREPLACE(B475,""[^A-Za-z0-9]"",""""))&amp;""-""&amp;TEXT(COUNTIF($B$2:B475,B475),""000""))"),"")</f>
        <v/>
      </c>
      <c r="D475" s="57"/>
      <c r="E475" s="58"/>
      <c r="F475" s="59"/>
      <c r="G475" s="10"/>
      <c r="H475" s="55"/>
      <c r="I475" s="28"/>
      <c r="J475" s="28" t="s">
        <v>646</v>
      </c>
    </row>
    <row r="476" ht="22.5" customHeight="1">
      <c r="A476" s="9"/>
      <c r="B476" s="56"/>
      <c r="C476" s="13" t="str">
        <f>IFERROR(__xludf.DUMMYFUNCTION("IF(B476="""","""",LOWER(REGEXREPLACE(B476,""[^A-Za-z0-9]"",""""))&amp;""-""&amp;TEXT(COUNTIF($B$2:B476,B476),""000""))"),"")</f>
        <v/>
      </c>
      <c r="D476" s="57"/>
      <c r="E476" s="58"/>
      <c r="F476" s="59"/>
      <c r="G476" s="10"/>
      <c r="H476" s="55"/>
      <c r="I476" s="28"/>
      <c r="J476" s="28" t="s">
        <v>646</v>
      </c>
    </row>
    <row r="477" ht="22.5" customHeight="1">
      <c r="A477" s="9"/>
      <c r="B477" s="56"/>
      <c r="C477" s="13" t="str">
        <f>IFERROR(__xludf.DUMMYFUNCTION("IF(B477="""","""",LOWER(REGEXREPLACE(B477,""[^A-Za-z0-9]"",""""))&amp;""-""&amp;TEXT(COUNTIF($B$2:B477,B477),""000""))"),"")</f>
        <v/>
      </c>
      <c r="D477" s="57"/>
      <c r="E477" s="58"/>
      <c r="F477" s="59"/>
      <c r="G477" s="10"/>
      <c r="H477" s="55"/>
      <c r="I477" s="28"/>
      <c r="J477" s="28" t="s">
        <v>646</v>
      </c>
    </row>
    <row r="478" ht="22.5" customHeight="1">
      <c r="A478" s="9"/>
      <c r="B478" s="56"/>
      <c r="C478" s="13" t="str">
        <f>IFERROR(__xludf.DUMMYFUNCTION("IF(B478="""","""",LOWER(REGEXREPLACE(B478,""[^A-Za-z0-9]"",""""))&amp;""-""&amp;TEXT(COUNTIF($B$2:B478,B478),""000""))"),"")</f>
        <v/>
      </c>
      <c r="D478" s="57"/>
      <c r="E478" s="58"/>
      <c r="F478" s="59"/>
      <c r="G478" s="10"/>
      <c r="H478" s="55"/>
      <c r="I478" s="28"/>
      <c r="J478" s="28" t="s">
        <v>646</v>
      </c>
    </row>
    <row r="479" ht="22.5" customHeight="1">
      <c r="A479" s="9"/>
      <c r="B479" s="56"/>
      <c r="C479" s="13" t="str">
        <f>IFERROR(__xludf.DUMMYFUNCTION("IF(B479="""","""",LOWER(REGEXREPLACE(B479,""[^A-Za-z0-9]"",""""))&amp;""-""&amp;TEXT(COUNTIF($B$2:B479,B479),""000""))"),"")</f>
        <v/>
      </c>
      <c r="D479" s="57"/>
      <c r="E479" s="58"/>
      <c r="F479" s="59"/>
      <c r="G479" s="10"/>
      <c r="H479" s="55"/>
      <c r="I479" s="28"/>
      <c r="J479" s="28" t="s">
        <v>646</v>
      </c>
    </row>
    <row r="480" ht="22.5" customHeight="1">
      <c r="A480" s="9"/>
      <c r="B480" s="56"/>
      <c r="C480" s="13" t="str">
        <f>IFERROR(__xludf.DUMMYFUNCTION("IF(B480="""","""",LOWER(REGEXREPLACE(B480,""[^A-Za-z0-9]"",""""))&amp;""-""&amp;TEXT(COUNTIF($B$2:B480,B480),""000""))"),"")</f>
        <v/>
      </c>
      <c r="D480" s="57"/>
      <c r="E480" s="58"/>
      <c r="F480" s="59"/>
      <c r="G480" s="10"/>
      <c r="H480" s="55"/>
      <c r="I480" s="28"/>
      <c r="J480" s="28" t="s">
        <v>646</v>
      </c>
    </row>
    <row r="481" ht="22.5" customHeight="1">
      <c r="A481" s="9"/>
      <c r="B481" s="56"/>
      <c r="C481" s="13" t="str">
        <f>IFERROR(__xludf.DUMMYFUNCTION("IF(B481="""","""",LOWER(REGEXREPLACE(B481,""[^A-Za-z0-9]"",""""))&amp;""-""&amp;TEXT(COUNTIF($B$2:B481,B481),""000""))"),"")</f>
        <v/>
      </c>
      <c r="D481" s="57"/>
      <c r="E481" s="58"/>
      <c r="F481" s="59"/>
      <c r="G481" s="10"/>
      <c r="H481" s="55"/>
      <c r="I481" s="28"/>
      <c r="J481" s="28" t="s">
        <v>646</v>
      </c>
    </row>
    <row r="482" ht="22.5" customHeight="1">
      <c r="A482" s="9"/>
      <c r="B482" s="56"/>
      <c r="C482" s="13" t="str">
        <f>IFERROR(__xludf.DUMMYFUNCTION("IF(B482="""","""",LOWER(REGEXREPLACE(B482,""[^A-Za-z0-9]"",""""))&amp;""-""&amp;TEXT(COUNTIF($B$2:B482,B482),""000""))"),"")</f>
        <v/>
      </c>
      <c r="D482" s="57"/>
      <c r="E482" s="58"/>
      <c r="F482" s="59"/>
      <c r="G482" s="10"/>
      <c r="H482" s="55"/>
      <c r="I482" s="28"/>
      <c r="J482" s="28" t="s">
        <v>646</v>
      </c>
    </row>
    <row r="483" ht="22.5" customHeight="1">
      <c r="A483" s="9"/>
      <c r="B483" s="56"/>
      <c r="C483" s="13" t="str">
        <f>IFERROR(__xludf.DUMMYFUNCTION("IF(B483="""","""",LOWER(REGEXREPLACE(B483,""[^A-Za-z0-9]"",""""))&amp;""-""&amp;TEXT(COUNTIF($B$2:B483,B483),""000""))"),"")</f>
        <v/>
      </c>
      <c r="D483" s="57"/>
      <c r="E483" s="58"/>
      <c r="F483" s="59"/>
      <c r="G483" s="10"/>
      <c r="H483" s="55"/>
      <c r="I483" s="28"/>
      <c r="J483" s="28" t="s">
        <v>646</v>
      </c>
    </row>
    <row r="484" ht="22.5" customHeight="1">
      <c r="A484" s="9"/>
      <c r="B484" s="56"/>
      <c r="C484" s="13" t="str">
        <f>IFERROR(__xludf.DUMMYFUNCTION("IF(B484="""","""",LOWER(REGEXREPLACE(B484,""[^A-Za-z0-9]"",""""))&amp;""-""&amp;TEXT(COUNTIF($B$2:B484,B484),""000""))"),"")</f>
        <v/>
      </c>
      <c r="D484" s="57"/>
      <c r="E484" s="58"/>
      <c r="F484" s="59"/>
      <c r="G484" s="10"/>
      <c r="H484" s="55"/>
      <c r="I484" s="28"/>
      <c r="J484" s="28" t="s">
        <v>646</v>
      </c>
    </row>
    <row r="485" ht="22.5" customHeight="1">
      <c r="A485" s="9"/>
      <c r="B485" s="56"/>
      <c r="C485" s="13" t="str">
        <f>IFERROR(__xludf.DUMMYFUNCTION("IF(B485="""","""",LOWER(REGEXREPLACE(B485,""[^A-Za-z0-9]"",""""))&amp;""-""&amp;TEXT(COUNTIF($B$2:B485,B485),""000""))"),"")</f>
        <v/>
      </c>
      <c r="D485" s="57"/>
      <c r="E485" s="58"/>
      <c r="F485" s="59"/>
      <c r="G485" s="10"/>
      <c r="H485" s="55"/>
      <c r="I485" s="28"/>
      <c r="J485" s="28" t="s">
        <v>646</v>
      </c>
    </row>
    <row r="486" ht="22.5" customHeight="1">
      <c r="A486" s="9"/>
      <c r="B486" s="56"/>
      <c r="C486" s="13" t="str">
        <f>IFERROR(__xludf.DUMMYFUNCTION("IF(B486="""","""",LOWER(REGEXREPLACE(B486,""[^A-Za-z0-9]"",""""))&amp;""-""&amp;TEXT(COUNTIF($B$2:B486,B486),""000""))"),"")</f>
        <v/>
      </c>
      <c r="D486" s="57"/>
      <c r="E486" s="58"/>
      <c r="F486" s="59"/>
      <c r="G486" s="10"/>
      <c r="H486" s="55"/>
      <c r="I486" s="28"/>
      <c r="J486" s="28" t="s">
        <v>646</v>
      </c>
    </row>
    <row r="487" ht="22.5" customHeight="1">
      <c r="A487" s="9"/>
      <c r="B487" s="56"/>
      <c r="C487" s="13" t="str">
        <f>IFERROR(__xludf.DUMMYFUNCTION("IF(B487="""","""",LOWER(REGEXREPLACE(B487,""[^A-Za-z0-9]"",""""))&amp;""-""&amp;TEXT(COUNTIF($B$2:B487,B487),""000""))"),"")</f>
        <v/>
      </c>
      <c r="D487" s="57"/>
      <c r="E487" s="58"/>
      <c r="F487" s="59"/>
      <c r="G487" s="10"/>
      <c r="H487" s="55"/>
      <c r="I487" s="28"/>
      <c r="J487" s="28" t="s">
        <v>646</v>
      </c>
    </row>
    <row r="488" ht="22.5" customHeight="1">
      <c r="A488" s="9"/>
      <c r="B488" s="56"/>
      <c r="C488" s="13" t="str">
        <f>IFERROR(__xludf.DUMMYFUNCTION("IF(B488="""","""",LOWER(REGEXREPLACE(B488,""[^A-Za-z0-9]"",""""))&amp;""-""&amp;TEXT(COUNTIF($B$2:B488,B488),""000""))"),"")</f>
        <v/>
      </c>
      <c r="D488" s="57"/>
      <c r="E488" s="58"/>
      <c r="F488" s="59"/>
      <c r="G488" s="10"/>
      <c r="H488" s="55"/>
      <c r="I488" s="28"/>
      <c r="J488" s="28" t="s">
        <v>646</v>
      </c>
    </row>
    <row r="489" ht="22.5" customHeight="1">
      <c r="A489" s="9"/>
      <c r="B489" s="56"/>
      <c r="C489" s="13" t="str">
        <f>IFERROR(__xludf.DUMMYFUNCTION("IF(B489="""","""",LOWER(REGEXREPLACE(B489,""[^A-Za-z0-9]"",""""))&amp;""-""&amp;TEXT(COUNTIF($B$2:B489,B489),""000""))"),"")</f>
        <v/>
      </c>
      <c r="D489" s="57"/>
      <c r="E489" s="58"/>
      <c r="F489" s="59"/>
      <c r="G489" s="10"/>
      <c r="H489" s="55"/>
      <c r="I489" s="28"/>
      <c r="J489" s="28" t="s">
        <v>646</v>
      </c>
    </row>
    <row r="490" ht="22.5" customHeight="1">
      <c r="A490" s="9"/>
      <c r="B490" s="56"/>
      <c r="C490" s="13" t="str">
        <f>IFERROR(__xludf.DUMMYFUNCTION("IF(B490="""","""",LOWER(REGEXREPLACE(B490,""[^A-Za-z0-9]"",""""))&amp;""-""&amp;TEXT(COUNTIF($B$2:B490,B490),""000""))"),"")</f>
        <v/>
      </c>
      <c r="D490" s="57"/>
      <c r="E490" s="58"/>
      <c r="F490" s="59"/>
      <c r="G490" s="10"/>
      <c r="H490" s="55"/>
      <c r="I490" s="28"/>
      <c r="J490" s="28" t="s">
        <v>646</v>
      </c>
    </row>
    <row r="491" ht="22.5" customHeight="1">
      <c r="A491" s="9"/>
      <c r="B491" s="56"/>
      <c r="C491" s="13" t="str">
        <f>IFERROR(__xludf.DUMMYFUNCTION("IF(B491="""","""",LOWER(REGEXREPLACE(B491,""[^A-Za-z0-9]"",""""))&amp;""-""&amp;TEXT(COUNTIF($B$2:B491,B491),""000""))"),"")</f>
        <v/>
      </c>
      <c r="D491" s="57"/>
      <c r="E491" s="58"/>
      <c r="F491" s="59"/>
      <c r="G491" s="10"/>
      <c r="H491" s="55"/>
      <c r="I491" s="28"/>
      <c r="J491" s="28" t="s">
        <v>646</v>
      </c>
    </row>
    <row r="492" ht="22.5" customHeight="1">
      <c r="A492" s="9"/>
      <c r="B492" s="56"/>
      <c r="C492" s="13" t="str">
        <f>IFERROR(__xludf.DUMMYFUNCTION("IF(B492="""","""",LOWER(REGEXREPLACE(B492,""[^A-Za-z0-9]"",""""))&amp;""-""&amp;TEXT(COUNTIF($B$2:B492,B492),""000""))"),"")</f>
        <v/>
      </c>
      <c r="D492" s="57"/>
      <c r="E492" s="58"/>
      <c r="F492" s="59"/>
      <c r="G492" s="10"/>
      <c r="H492" s="55"/>
      <c r="I492" s="28"/>
      <c r="J492" s="28" t="s">
        <v>646</v>
      </c>
    </row>
    <row r="493" ht="22.5" customHeight="1">
      <c r="A493" s="9"/>
      <c r="B493" s="56"/>
      <c r="C493" s="13" t="str">
        <f>IFERROR(__xludf.DUMMYFUNCTION("IF(B493="""","""",LOWER(REGEXREPLACE(B493,""[^A-Za-z0-9]"",""""))&amp;""-""&amp;TEXT(COUNTIF($B$2:B493,B493),""000""))"),"")</f>
        <v/>
      </c>
      <c r="D493" s="57"/>
      <c r="E493" s="58"/>
      <c r="F493" s="59"/>
      <c r="G493" s="10"/>
      <c r="H493" s="55"/>
      <c r="I493" s="28"/>
      <c r="J493" s="28" t="s">
        <v>646</v>
      </c>
    </row>
    <row r="494" ht="22.5" customHeight="1">
      <c r="A494" s="9"/>
      <c r="B494" s="56"/>
      <c r="C494" s="13" t="str">
        <f>IFERROR(__xludf.DUMMYFUNCTION("IF(B494="""","""",LOWER(REGEXREPLACE(B494,""[^A-Za-z0-9]"",""""))&amp;""-""&amp;TEXT(COUNTIF($B$2:B494,B494),""000""))"),"")</f>
        <v/>
      </c>
      <c r="D494" s="57"/>
      <c r="E494" s="58"/>
      <c r="F494" s="59"/>
      <c r="G494" s="10"/>
      <c r="H494" s="55"/>
      <c r="I494" s="28"/>
      <c r="J494" s="28" t="s">
        <v>646</v>
      </c>
    </row>
    <row r="495" ht="22.5" customHeight="1">
      <c r="A495" s="9"/>
      <c r="B495" s="56"/>
      <c r="C495" s="13" t="str">
        <f>IFERROR(__xludf.DUMMYFUNCTION("IF(B495="""","""",LOWER(REGEXREPLACE(B495,""[^A-Za-z0-9]"",""""))&amp;""-""&amp;TEXT(COUNTIF($B$2:B495,B495),""000""))"),"")</f>
        <v/>
      </c>
      <c r="D495" s="57"/>
      <c r="E495" s="58"/>
      <c r="F495" s="59"/>
      <c r="G495" s="10"/>
      <c r="H495" s="55"/>
      <c r="I495" s="28"/>
      <c r="J495" s="28" t="s">
        <v>646</v>
      </c>
    </row>
    <row r="496" ht="22.5" customHeight="1">
      <c r="A496" s="9"/>
      <c r="B496" s="56"/>
      <c r="C496" s="13" t="str">
        <f>IFERROR(__xludf.DUMMYFUNCTION("IF(B496="""","""",LOWER(REGEXREPLACE(B496,""[^A-Za-z0-9]"",""""))&amp;""-""&amp;TEXT(COUNTIF($B$2:B496,B496),""000""))"),"")</f>
        <v/>
      </c>
      <c r="D496" s="57"/>
      <c r="E496" s="58"/>
      <c r="F496" s="59"/>
      <c r="G496" s="10"/>
      <c r="H496" s="55"/>
      <c r="I496" s="28"/>
      <c r="J496" s="28" t="s">
        <v>646</v>
      </c>
    </row>
    <row r="497" ht="22.5" customHeight="1">
      <c r="A497" s="9"/>
      <c r="B497" s="56"/>
      <c r="C497" s="13" t="str">
        <f>IFERROR(__xludf.DUMMYFUNCTION("IF(B497="""","""",LOWER(REGEXREPLACE(B497,""[^A-Za-z0-9]"",""""))&amp;""-""&amp;TEXT(COUNTIF($B$2:B497,B497),""000""))"),"")</f>
        <v/>
      </c>
      <c r="D497" s="57"/>
      <c r="E497" s="58"/>
      <c r="F497" s="59"/>
      <c r="G497" s="10"/>
      <c r="H497" s="55"/>
      <c r="I497" s="28"/>
      <c r="J497" s="28" t="s">
        <v>646</v>
      </c>
    </row>
    <row r="498" ht="22.5" customHeight="1">
      <c r="A498" s="9"/>
      <c r="B498" s="56"/>
      <c r="C498" s="13" t="str">
        <f>IFERROR(__xludf.DUMMYFUNCTION("IF(B498="""","""",LOWER(REGEXREPLACE(B498,""[^A-Za-z0-9]"",""""))&amp;""-""&amp;TEXT(COUNTIF($B$2:B498,B498),""000""))"),"")</f>
        <v/>
      </c>
      <c r="D498" s="57"/>
      <c r="E498" s="58"/>
      <c r="F498" s="59"/>
      <c r="G498" s="10"/>
      <c r="H498" s="55"/>
      <c r="I498" s="28"/>
      <c r="J498" s="28" t="s">
        <v>646</v>
      </c>
    </row>
    <row r="499" ht="22.5" customHeight="1">
      <c r="A499" s="9"/>
      <c r="B499" s="56"/>
      <c r="C499" s="13" t="str">
        <f>IFERROR(__xludf.DUMMYFUNCTION("IF(B499="""","""",LOWER(REGEXREPLACE(B499,""[^A-Za-z0-9]"",""""))&amp;""-""&amp;TEXT(COUNTIF($B$2:B499,B499),""000""))"),"")</f>
        <v/>
      </c>
      <c r="D499" s="57"/>
      <c r="E499" s="58"/>
      <c r="F499" s="59"/>
      <c r="G499" s="10"/>
      <c r="H499" s="55"/>
      <c r="I499" s="28"/>
      <c r="J499" s="28" t="s">
        <v>646</v>
      </c>
    </row>
    <row r="500" ht="22.5" customHeight="1">
      <c r="A500" s="9"/>
      <c r="B500" s="56"/>
      <c r="C500" s="13" t="str">
        <f>IFERROR(__xludf.DUMMYFUNCTION("IF(B500="""","""",LOWER(REGEXREPLACE(B500,""[^A-Za-z0-9]"",""""))&amp;""-""&amp;TEXT(COUNTIF($B$2:B500,B500),""000""))"),"")</f>
        <v/>
      </c>
      <c r="D500" s="57"/>
      <c r="E500" s="58"/>
      <c r="F500" s="59"/>
      <c r="G500" s="10"/>
      <c r="H500" s="55"/>
      <c r="I500" s="28"/>
      <c r="J500" s="28" t="s">
        <v>646</v>
      </c>
    </row>
    <row r="501" ht="22.5" customHeight="1">
      <c r="A501" s="9"/>
      <c r="B501" s="56"/>
      <c r="C501" s="13" t="str">
        <f>IFERROR(__xludf.DUMMYFUNCTION("IF(B501="""","""",LOWER(REGEXREPLACE(B501,""[^A-Za-z0-9]"",""""))&amp;""-""&amp;TEXT(COUNTIF($B$2:B501,B501),""000""))"),"")</f>
        <v/>
      </c>
      <c r="D501" s="57"/>
      <c r="E501" s="58"/>
      <c r="F501" s="59"/>
      <c r="G501" s="10"/>
      <c r="H501" s="55"/>
      <c r="I501" s="28"/>
      <c r="J501" s="28" t="s">
        <v>646</v>
      </c>
    </row>
    <row r="502" ht="22.5" customHeight="1">
      <c r="A502" s="9"/>
      <c r="B502" s="56"/>
      <c r="C502" s="13" t="str">
        <f>IFERROR(__xludf.DUMMYFUNCTION("IF(B502="""","""",LOWER(REGEXREPLACE(B502,""[^A-Za-z0-9]"",""""))&amp;""-""&amp;TEXT(COUNTIF($B$2:B502,B502),""000""))"),"")</f>
        <v/>
      </c>
      <c r="D502" s="57"/>
      <c r="E502" s="58"/>
      <c r="F502" s="59"/>
      <c r="G502" s="10"/>
      <c r="H502" s="55"/>
      <c r="I502" s="28"/>
      <c r="J502" s="28" t="s">
        <v>646</v>
      </c>
    </row>
    <row r="503" ht="22.5" customHeight="1">
      <c r="A503" s="9"/>
      <c r="B503" s="56"/>
      <c r="C503" s="13" t="str">
        <f>IFERROR(__xludf.DUMMYFUNCTION("IF(B503="""","""",LOWER(REGEXREPLACE(B503,""[^A-Za-z0-9]"",""""))&amp;""-""&amp;TEXT(COUNTIF($B$2:B503,B503),""000""))"),"")</f>
        <v/>
      </c>
      <c r="D503" s="57"/>
      <c r="E503" s="58"/>
      <c r="F503" s="59"/>
      <c r="G503" s="10"/>
      <c r="H503" s="55"/>
      <c r="I503" s="28"/>
      <c r="J503" s="28" t="s">
        <v>646</v>
      </c>
    </row>
    <row r="504" ht="22.5" customHeight="1">
      <c r="A504" s="9"/>
      <c r="B504" s="56"/>
      <c r="C504" s="13" t="str">
        <f>IFERROR(__xludf.DUMMYFUNCTION("IF(B504="""","""",LOWER(REGEXREPLACE(B504,""[^A-Za-z0-9]"",""""))&amp;""-""&amp;TEXT(COUNTIF($B$2:B504,B504),""000""))"),"")</f>
        <v/>
      </c>
      <c r="D504" s="57"/>
      <c r="E504" s="58"/>
      <c r="F504" s="59"/>
      <c r="G504" s="10"/>
      <c r="H504" s="55"/>
      <c r="I504" s="28"/>
      <c r="J504" s="28" t="s">
        <v>646</v>
      </c>
    </row>
    <row r="505" ht="22.5" customHeight="1">
      <c r="A505" s="9"/>
      <c r="B505" s="56"/>
      <c r="C505" s="13" t="str">
        <f>IFERROR(__xludf.DUMMYFUNCTION("IF(B505="""","""",LOWER(REGEXREPLACE(B505,""[^A-Za-z0-9]"",""""))&amp;""-""&amp;TEXT(COUNTIF($B$2:B505,B505),""000""))"),"")</f>
        <v/>
      </c>
      <c r="D505" s="57"/>
      <c r="E505" s="58"/>
      <c r="F505" s="59"/>
      <c r="G505" s="10"/>
      <c r="H505" s="55"/>
      <c r="I505" s="28"/>
      <c r="J505" s="28" t="s">
        <v>646</v>
      </c>
    </row>
    <row r="506" ht="22.5" customHeight="1">
      <c r="A506" s="9"/>
      <c r="B506" s="56"/>
      <c r="C506" s="13" t="str">
        <f>IFERROR(__xludf.DUMMYFUNCTION("IF(B506="""","""",LOWER(REGEXREPLACE(B506,""[^A-Za-z0-9]"",""""))&amp;""-""&amp;TEXT(COUNTIF($B$2:B506,B506),""000""))"),"")</f>
        <v/>
      </c>
      <c r="D506" s="57"/>
      <c r="E506" s="58"/>
      <c r="F506" s="59"/>
      <c r="G506" s="10"/>
      <c r="H506" s="55"/>
      <c r="I506" s="28"/>
      <c r="J506" s="28" t="s">
        <v>646</v>
      </c>
    </row>
    <row r="507" ht="22.5" customHeight="1">
      <c r="A507" s="9"/>
      <c r="B507" s="56"/>
      <c r="C507" s="13" t="str">
        <f>IFERROR(__xludf.DUMMYFUNCTION("IF(B507="""","""",LOWER(REGEXREPLACE(B507,""[^A-Za-z0-9]"",""""))&amp;""-""&amp;TEXT(COUNTIF($B$2:B507,B507),""000""))"),"")</f>
        <v/>
      </c>
      <c r="D507" s="57"/>
      <c r="E507" s="58"/>
      <c r="F507" s="59"/>
      <c r="G507" s="10"/>
      <c r="H507" s="55"/>
      <c r="I507" s="28"/>
      <c r="J507" s="28" t="s">
        <v>646</v>
      </c>
    </row>
    <row r="508" ht="22.5" customHeight="1">
      <c r="A508" s="9"/>
      <c r="B508" s="56"/>
      <c r="C508" s="13" t="str">
        <f>IFERROR(__xludf.DUMMYFUNCTION("IF(B508="""","""",LOWER(REGEXREPLACE(B508,""[^A-Za-z0-9]"",""""))&amp;""-""&amp;TEXT(COUNTIF($B$2:B508,B508),""000""))"),"")</f>
        <v/>
      </c>
      <c r="D508" s="57"/>
      <c r="E508" s="58"/>
      <c r="F508" s="59"/>
      <c r="G508" s="10"/>
      <c r="H508" s="55"/>
      <c r="I508" s="28"/>
      <c r="J508" s="28" t="s">
        <v>646</v>
      </c>
    </row>
    <row r="509" ht="22.5" customHeight="1">
      <c r="A509" s="9"/>
      <c r="B509" s="56"/>
      <c r="C509" s="13" t="str">
        <f>IFERROR(__xludf.DUMMYFUNCTION("IF(B509="""","""",LOWER(REGEXREPLACE(B509,""[^A-Za-z0-9]"",""""))&amp;""-""&amp;TEXT(COUNTIF($B$2:B509,B509),""000""))"),"")</f>
        <v/>
      </c>
      <c r="D509" s="57"/>
      <c r="E509" s="58"/>
      <c r="F509" s="59"/>
      <c r="G509" s="10"/>
      <c r="H509" s="55"/>
      <c r="I509" s="28"/>
      <c r="J509" s="28" t="s">
        <v>646</v>
      </c>
    </row>
    <row r="510" ht="22.5" customHeight="1">
      <c r="A510" s="9"/>
      <c r="B510" s="56"/>
      <c r="C510" s="13" t="str">
        <f>IFERROR(__xludf.DUMMYFUNCTION("IF(B510="""","""",LOWER(REGEXREPLACE(B510,""[^A-Za-z0-9]"",""""))&amp;""-""&amp;TEXT(COUNTIF($B$2:B510,B510),""000""))"),"")</f>
        <v/>
      </c>
      <c r="D510" s="57"/>
      <c r="E510" s="58"/>
      <c r="F510" s="59"/>
      <c r="G510" s="10"/>
      <c r="H510" s="55"/>
      <c r="I510" s="28"/>
      <c r="J510" s="28" t="s">
        <v>646</v>
      </c>
    </row>
    <row r="511" ht="22.5" customHeight="1">
      <c r="A511" s="9"/>
      <c r="B511" s="56"/>
      <c r="C511" s="13" t="str">
        <f>IFERROR(__xludf.DUMMYFUNCTION("IF(B511="""","""",LOWER(REGEXREPLACE(B511,""[^A-Za-z0-9]"",""""))&amp;""-""&amp;TEXT(COUNTIF($B$2:B511,B511),""000""))"),"")</f>
        <v/>
      </c>
      <c r="D511" s="57"/>
      <c r="E511" s="58"/>
      <c r="F511" s="59"/>
      <c r="G511" s="10"/>
      <c r="H511" s="55"/>
      <c r="I511" s="28"/>
      <c r="J511" s="28" t="s">
        <v>646</v>
      </c>
    </row>
    <row r="512" ht="22.5" customHeight="1">
      <c r="A512" s="9"/>
      <c r="B512" s="56"/>
      <c r="C512" s="13" t="str">
        <f>IFERROR(__xludf.DUMMYFUNCTION("IF(B512="""","""",LOWER(REGEXREPLACE(B512,""[^A-Za-z0-9]"",""""))&amp;""-""&amp;TEXT(COUNTIF($B$2:B512,B512),""000""))"),"")</f>
        <v/>
      </c>
      <c r="D512" s="57"/>
      <c r="E512" s="58"/>
      <c r="F512" s="59"/>
      <c r="G512" s="10"/>
      <c r="H512" s="55"/>
      <c r="I512" s="28"/>
      <c r="J512" s="28" t="s">
        <v>646</v>
      </c>
    </row>
    <row r="513" ht="22.5" customHeight="1">
      <c r="A513" s="9"/>
      <c r="B513" s="56"/>
      <c r="C513" s="13" t="str">
        <f>IFERROR(__xludf.DUMMYFUNCTION("IF(B513="""","""",LOWER(REGEXREPLACE(B513,""[^A-Za-z0-9]"",""""))&amp;""-""&amp;TEXT(COUNTIF($B$2:B513,B513),""000""))"),"")</f>
        <v/>
      </c>
      <c r="D513" s="57"/>
      <c r="E513" s="58"/>
      <c r="F513" s="59"/>
      <c r="G513" s="10"/>
      <c r="H513" s="55"/>
      <c r="I513" s="28"/>
      <c r="J513" s="28" t="s">
        <v>646</v>
      </c>
    </row>
    <row r="514" ht="22.5" customHeight="1">
      <c r="A514" s="9"/>
      <c r="B514" s="56"/>
      <c r="C514" s="13" t="str">
        <f>IFERROR(__xludf.DUMMYFUNCTION("IF(B514="""","""",LOWER(REGEXREPLACE(B514,""[^A-Za-z0-9]"",""""))&amp;""-""&amp;TEXT(COUNTIF($B$2:B514,B514),""000""))"),"")</f>
        <v/>
      </c>
      <c r="D514" s="57"/>
      <c r="E514" s="58"/>
      <c r="F514" s="59"/>
      <c r="G514" s="10"/>
      <c r="H514" s="55"/>
      <c r="I514" s="28"/>
      <c r="J514" s="28" t="s">
        <v>646</v>
      </c>
    </row>
    <row r="515" ht="22.5" customHeight="1">
      <c r="A515" s="9"/>
      <c r="B515" s="56"/>
      <c r="C515" s="13" t="str">
        <f>IFERROR(__xludf.DUMMYFUNCTION("IF(B515="""","""",LOWER(REGEXREPLACE(B515,""[^A-Za-z0-9]"",""""))&amp;""-""&amp;TEXT(COUNTIF($B$2:B515,B515),""000""))"),"")</f>
        <v/>
      </c>
      <c r="D515" s="57"/>
      <c r="E515" s="58"/>
      <c r="F515" s="59"/>
      <c r="G515" s="10"/>
      <c r="H515" s="55"/>
      <c r="I515" s="28"/>
      <c r="J515" s="28" t="s">
        <v>646</v>
      </c>
    </row>
    <row r="516" ht="22.5" customHeight="1">
      <c r="A516" s="9"/>
      <c r="B516" s="56"/>
      <c r="C516" s="13" t="str">
        <f>IFERROR(__xludf.DUMMYFUNCTION("IF(B516="""","""",LOWER(REGEXREPLACE(B516,""[^A-Za-z0-9]"",""""))&amp;""-""&amp;TEXT(COUNTIF($B$2:B516,B516),""000""))"),"")</f>
        <v/>
      </c>
      <c r="D516" s="57"/>
      <c r="E516" s="58"/>
      <c r="F516" s="59"/>
      <c r="G516" s="10"/>
      <c r="H516" s="55"/>
      <c r="I516" s="28"/>
      <c r="J516" s="28" t="s">
        <v>646</v>
      </c>
    </row>
    <row r="517" ht="22.5" customHeight="1">
      <c r="A517" s="9"/>
      <c r="B517" s="56"/>
      <c r="C517" s="13" t="str">
        <f>IFERROR(__xludf.DUMMYFUNCTION("IF(B517="""","""",LOWER(REGEXREPLACE(B517,""[^A-Za-z0-9]"",""""))&amp;""-""&amp;TEXT(COUNTIF($B$2:B517,B517),""000""))"),"")</f>
        <v/>
      </c>
      <c r="D517" s="57"/>
      <c r="E517" s="58"/>
      <c r="F517" s="59"/>
      <c r="G517" s="10"/>
      <c r="H517" s="55"/>
      <c r="I517" s="28"/>
      <c r="J517" s="28" t="s">
        <v>646</v>
      </c>
    </row>
    <row r="518" ht="22.5" customHeight="1">
      <c r="A518" s="9"/>
      <c r="B518" s="56"/>
      <c r="C518" s="13" t="str">
        <f>IFERROR(__xludf.DUMMYFUNCTION("IF(B518="""","""",LOWER(REGEXREPLACE(B518,""[^A-Za-z0-9]"",""""))&amp;""-""&amp;TEXT(COUNTIF($B$2:B518,B518),""000""))"),"")</f>
        <v/>
      </c>
      <c r="D518" s="57"/>
      <c r="E518" s="58"/>
      <c r="F518" s="59"/>
      <c r="G518" s="10"/>
      <c r="H518" s="55"/>
      <c r="I518" s="28"/>
      <c r="J518" s="28" t="s">
        <v>646</v>
      </c>
    </row>
    <row r="519" ht="22.5" customHeight="1">
      <c r="A519" s="9"/>
      <c r="B519" s="56"/>
      <c r="C519" s="13" t="str">
        <f>IFERROR(__xludf.DUMMYFUNCTION("IF(B519="""","""",LOWER(REGEXREPLACE(B519,""[^A-Za-z0-9]"",""""))&amp;""-""&amp;TEXT(COUNTIF($B$2:B519,B519),""000""))"),"")</f>
        <v/>
      </c>
      <c r="D519" s="57"/>
      <c r="E519" s="58"/>
      <c r="F519" s="59"/>
      <c r="G519" s="10"/>
      <c r="H519" s="55"/>
      <c r="I519" s="28"/>
      <c r="J519" s="28" t="s">
        <v>646</v>
      </c>
    </row>
    <row r="520" ht="22.5" customHeight="1">
      <c r="A520" s="9"/>
      <c r="B520" s="56"/>
      <c r="C520" s="13" t="str">
        <f>IFERROR(__xludf.DUMMYFUNCTION("IF(B520="""","""",LOWER(REGEXREPLACE(B520,""[^A-Za-z0-9]"",""""))&amp;""-""&amp;TEXT(COUNTIF($B$2:B520,B520),""000""))"),"")</f>
        <v/>
      </c>
      <c r="D520" s="57"/>
      <c r="E520" s="58"/>
      <c r="F520" s="59"/>
      <c r="G520" s="10"/>
      <c r="H520" s="55"/>
      <c r="I520" s="28"/>
      <c r="J520" s="28" t="s">
        <v>646</v>
      </c>
    </row>
    <row r="521" ht="22.5" customHeight="1">
      <c r="A521" s="9"/>
      <c r="B521" s="56"/>
      <c r="C521" s="13" t="str">
        <f>IFERROR(__xludf.DUMMYFUNCTION("IF(B521="""","""",LOWER(REGEXREPLACE(B521,""[^A-Za-z0-9]"",""""))&amp;""-""&amp;TEXT(COUNTIF($B$2:B521,B521),""000""))"),"")</f>
        <v/>
      </c>
      <c r="D521" s="57"/>
      <c r="E521" s="58"/>
      <c r="F521" s="59"/>
      <c r="G521" s="10"/>
      <c r="H521" s="55"/>
      <c r="I521" s="28"/>
      <c r="J521" s="28" t="s">
        <v>646</v>
      </c>
    </row>
    <row r="522" ht="22.5" customHeight="1">
      <c r="A522" s="9"/>
      <c r="B522" s="56"/>
      <c r="C522" s="13" t="str">
        <f>IFERROR(__xludf.DUMMYFUNCTION("IF(B522="""","""",LOWER(REGEXREPLACE(B522,""[^A-Za-z0-9]"",""""))&amp;""-""&amp;TEXT(COUNTIF($B$2:B522,B522),""000""))"),"")</f>
        <v/>
      </c>
      <c r="D522" s="57"/>
      <c r="E522" s="58"/>
      <c r="F522" s="59"/>
      <c r="G522" s="10"/>
      <c r="H522" s="55"/>
      <c r="I522" s="28"/>
      <c r="J522" s="28" t="s">
        <v>646</v>
      </c>
    </row>
    <row r="523" ht="22.5" customHeight="1">
      <c r="A523" s="9"/>
      <c r="B523" s="56"/>
      <c r="C523" s="13" t="str">
        <f>IFERROR(__xludf.DUMMYFUNCTION("IF(B523="""","""",LOWER(REGEXREPLACE(B523,""[^A-Za-z0-9]"",""""))&amp;""-""&amp;TEXT(COUNTIF($B$2:B523,B523),""000""))"),"")</f>
        <v/>
      </c>
      <c r="D523" s="57"/>
      <c r="E523" s="58"/>
      <c r="F523" s="59"/>
      <c r="G523" s="10"/>
      <c r="H523" s="55"/>
      <c r="I523" s="28"/>
      <c r="J523" s="28" t="s">
        <v>646</v>
      </c>
    </row>
    <row r="524" ht="22.5" customHeight="1">
      <c r="A524" s="9"/>
      <c r="B524" s="56"/>
      <c r="C524" s="13" t="str">
        <f>IFERROR(__xludf.DUMMYFUNCTION("IF(B524="""","""",LOWER(REGEXREPLACE(B524,""[^A-Za-z0-9]"",""""))&amp;""-""&amp;TEXT(COUNTIF($B$2:B524,B524),""000""))"),"")</f>
        <v/>
      </c>
      <c r="D524" s="57"/>
      <c r="E524" s="58"/>
      <c r="F524" s="59"/>
      <c r="G524" s="10"/>
      <c r="H524" s="55"/>
      <c r="I524" s="28"/>
      <c r="J524" s="28" t="s">
        <v>646</v>
      </c>
    </row>
    <row r="525" ht="22.5" customHeight="1">
      <c r="A525" s="9"/>
      <c r="B525" s="56"/>
      <c r="C525" s="13" t="str">
        <f>IFERROR(__xludf.DUMMYFUNCTION("IF(B525="""","""",LOWER(REGEXREPLACE(B525,""[^A-Za-z0-9]"",""""))&amp;""-""&amp;TEXT(COUNTIF($B$2:B525,B525),""000""))"),"")</f>
        <v/>
      </c>
      <c r="D525" s="57"/>
      <c r="E525" s="58"/>
      <c r="F525" s="59"/>
      <c r="G525" s="10"/>
      <c r="H525" s="55"/>
      <c r="I525" s="28"/>
      <c r="J525" s="28" t="s">
        <v>646</v>
      </c>
    </row>
    <row r="526" ht="22.5" customHeight="1">
      <c r="A526" s="9"/>
      <c r="B526" s="56"/>
      <c r="C526" s="13" t="str">
        <f>IFERROR(__xludf.DUMMYFUNCTION("IF(B526="""","""",LOWER(REGEXREPLACE(B526,""[^A-Za-z0-9]"",""""))&amp;""-""&amp;TEXT(COUNTIF($B$2:B526,B526),""000""))"),"")</f>
        <v/>
      </c>
      <c r="D526" s="57"/>
      <c r="E526" s="58"/>
      <c r="F526" s="59"/>
      <c r="G526" s="10"/>
      <c r="H526" s="55"/>
      <c r="I526" s="28"/>
      <c r="J526" s="28" t="s">
        <v>646</v>
      </c>
    </row>
    <row r="527" ht="22.5" customHeight="1">
      <c r="A527" s="9"/>
      <c r="B527" s="56"/>
      <c r="C527" s="13" t="str">
        <f>IFERROR(__xludf.DUMMYFUNCTION("IF(B527="""","""",LOWER(REGEXREPLACE(B527,""[^A-Za-z0-9]"",""""))&amp;""-""&amp;TEXT(COUNTIF($B$2:B527,B527),""000""))"),"")</f>
        <v/>
      </c>
      <c r="D527" s="57"/>
      <c r="E527" s="58"/>
      <c r="F527" s="59"/>
      <c r="G527" s="10"/>
      <c r="H527" s="55"/>
      <c r="I527" s="28"/>
      <c r="J527" s="28" t="s">
        <v>646</v>
      </c>
    </row>
    <row r="528" ht="22.5" customHeight="1">
      <c r="A528" s="9"/>
      <c r="B528" s="56"/>
      <c r="C528" s="13" t="str">
        <f>IFERROR(__xludf.DUMMYFUNCTION("IF(B528="""","""",LOWER(REGEXREPLACE(B528,""[^A-Za-z0-9]"",""""))&amp;""-""&amp;TEXT(COUNTIF($B$2:B528,B528),""000""))"),"")</f>
        <v/>
      </c>
      <c r="D528" s="57"/>
      <c r="E528" s="58"/>
      <c r="F528" s="59"/>
      <c r="G528" s="10"/>
      <c r="H528" s="55"/>
      <c r="I528" s="28"/>
      <c r="J528" s="28" t="s">
        <v>646</v>
      </c>
    </row>
    <row r="529" ht="22.5" customHeight="1">
      <c r="A529" s="9"/>
      <c r="B529" s="56"/>
      <c r="C529" s="13" t="str">
        <f>IFERROR(__xludf.DUMMYFUNCTION("IF(B529="""","""",LOWER(REGEXREPLACE(B529,""[^A-Za-z0-9]"",""""))&amp;""-""&amp;TEXT(COUNTIF($B$2:B529,B529),""000""))"),"")</f>
        <v/>
      </c>
      <c r="D529" s="57"/>
      <c r="E529" s="58"/>
      <c r="F529" s="59"/>
      <c r="G529" s="10"/>
      <c r="H529" s="55"/>
      <c r="I529" s="28"/>
      <c r="J529" s="28" t="s">
        <v>646</v>
      </c>
    </row>
    <row r="530" ht="22.5" customHeight="1">
      <c r="A530" s="9"/>
      <c r="B530" s="56"/>
      <c r="C530" s="13" t="str">
        <f>IFERROR(__xludf.DUMMYFUNCTION("IF(B530="""","""",LOWER(REGEXREPLACE(B530,""[^A-Za-z0-9]"",""""))&amp;""-""&amp;TEXT(COUNTIF($B$2:B530,B530),""000""))"),"")</f>
        <v/>
      </c>
      <c r="D530" s="57"/>
      <c r="E530" s="58"/>
      <c r="F530" s="59"/>
      <c r="G530" s="10"/>
      <c r="H530" s="55"/>
      <c r="I530" s="28"/>
      <c r="J530" s="28" t="s">
        <v>646</v>
      </c>
    </row>
    <row r="531" ht="22.5" customHeight="1">
      <c r="A531" s="9"/>
      <c r="B531" s="56"/>
      <c r="C531" s="13" t="str">
        <f>IFERROR(__xludf.DUMMYFUNCTION("IF(B531="""","""",LOWER(REGEXREPLACE(B531,""[^A-Za-z0-9]"",""""))&amp;""-""&amp;TEXT(COUNTIF($B$2:B531,B531),""000""))"),"")</f>
        <v/>
      </c>
      <c r="D531" s="57"/>
      <c r="E531" s="58"/>
      <c r="F531" s="59"/>
      <c r="G531" s="10"/>
      <c r="H531" s="55"/>
      <c r="I531" s="28"/>
      <c r="J531" s="28" t="s">
        <v>646</v>
      </c>
    </row>
    <row r="532" ht="22.5" customHeight="1">
      <c r="A532" s="9"/>
      <c r="B532" s="56"/>
      <c r="C532" s="13" t="str">
        <f>IFERROR(__xludf.DUMMYFUNCTION("IF(B532="""","""",LOWER(REGEXREPLACE(B532,""[^A-Za-z0-9]"",""""))&amp;""-""&amp;TEXT(COUNTIF($B$2:B532,B532),""000""))"),"")</f>
        <v/>
      </c>
      <c r="D532" s="57"/>
      <c r="E532" s="58"/>
      <c r="F532" s="59"/>
      <c r="G532" s="10"/>
      <c r="H532" s="55"/>
      <c r="I532" s="28"/>
      <c r="J532" s="28" t="s">
        <v>646</v>
      </c>
    </row>
    <row r="533" ht="22.5" customHeight="1">
      <c r="A533" s="9"/>
      <c r="B533" s="56"/>
      <c r="C533" s="13" t="str">
        <f>IFERROR(__xludf.DUMMYFUNCTION("IF(B533="""","""",LOWER(REGEXREPLACE(B533,""[^A-Za-z0-9]"",""""))&amp;""-""&amp;TEXT(COUNTIF($B$2:B533,B533),""000""))"),"")</f>
        <v/>
      </c>
      <c r="D533" s="57"/>
      <c r="E533" s="58"/>
      <c r="F533" s="59"/>
      <c r="G533" s="10"/>
      <c r="H533" s="55"/>
      <c r="I533" s="28"/>
      <c r="J533" s="28" t="s">
        <v>646</v>
      </c>
    </row>
    <row r="534" ht="22.5" customHeight="1">
      <c r="A534" s="9"/>
      <c r="B534" s="56"/>
      <c r="C534" s="13" t="str">
        <f>IFERROR(__xludf.DUMMYFUNCTION("IF(B534="""","""",LOWER(REGEXREPLACE(B534,""[^A-Za-z0-9]"",""""))&amp;""-""&amp;TEXT(COUNTIF($B$2:B534,B534),""000""))"),"")</f>
        <v/>
      </c>
      <c r="D534" s="57"/>
      <c r="E534" s="58"/>
      <c r="F534" s="59"/>
      <c r="G534" s="10"/>
      <c r="H534" s="55"/>
      <c r="I534" s="28"/>
      <c r="J534" s="28" t="s">
        <v>646</v>
      </c>
    </row>
    <row r="535" ht="22.5" customHeight="1">
      <c r="A535" s="9"/>
      <c r="B535" s="56"/>
      <c r="C535" s="13" t="str">
        <f>IFERROR(__xludf.DUMMYFUNCTION("IF(B535="""","""",LOWER(REGEXREPLACE(B535,""[^A-Za-z0-9]"",""""))&amp;""-""&amp;TEXT(COUNTIF($B$2:B535,B535),""000""))"),"")</f>
        <v/>
      </c>
      <c r="D535" s="57"/>
      <c r="E535" s="58"/>
      <c r="F535" s="59"/>
      <c r="G535" s="10"/>
      <c r="H535" s="55"/>
      <c r="I535" s="28"/>
      <c r="J535" s="28" t="s">
        <v>646</v>
      </c>
    </row>
    <row r="536" ht="22.5" customHeight="1">
      <c r="A536" s="9"/>
      <c r="B536" s="56"/>
      <c r="C536" s="13" t="str">
        <f>IFERROR(__xludf.DUMMYFUNCTION("IF(B536="""","""",LOWER(REGEXREPLACE(B536,""[^A-Za-z0-9]"",""""))&amp;""-""&amp;TEXT(COUNTIF($B$2:B536,B536),""000""))"),"")</f>
        <v/>
      </c>
      <c r="D536" s="57"/>
      <c r="E536" s="58"/>
      <c r="F536" s="59"/>
      <c r="G536" s="10"/>
      <c r="H536" s="55"/>
      <c r="I536" s="28"/>
      <c r="J536" s="28" t="s">
        <v>646</v>
      </c>
    </row>
    <row r="537" ht="22.5" customHeight="1">
      <c r="A537" s="9"/>
      <c r="B537" s="56"/>
      <c r="C537" s="13" t="str">
        <f>IFERROR(__xludf.DUMMYFUNCTION("IF(B537="""","""",LOWER(REGEXREPLACE(B537,""[^A-Za-z0-9]"",""""))&amp;""-""&amp;TEXT(COUNTIF($B$2:B537,B537),""000""))"),"")</f>
        <v/>
      </c>
      <c r="D537" s="57"/>
      <c r="E537" s="58"/>
      <c r="F537" s="59"/>
      <c r="G537" s="10"/>
      <c r="H537" s="55"/>
      <c r="I537" s="28"/>
      <c r="J537" s="28" t="s">
        <v>646</v>
      </c>
    </row>
    <row r="538" ht="22.5" customHeight="1">
      <c r="A538" s="9"/>
      <c r="B538" s="56"/>
      <c r="C538" s="13" t="str">
        <f>IFERROR(__xludf.DUMMYFUNCTION("IF(B538="""","""",LOWER(REGEXREPLACE(B538,""[^A-Za-z0-9]"",""""))&amp;""-""&amp;TEXT(COUNTIF($B$2:B538,B538),""000""))"),"")</f>
        <v/>
      </c>
      <c r="D538" s="57"/>
      <c r="E538" s="58"/>
      <c r="F538" s="59"/>
      <c r="G538" s="10"/>
      <c r="H538" s="55"/>
      <c r="I538" s="28"/>
      <c r="J538" s="28" t="s">
        <v>646</v>
      </c>
    </row>
    <row r="539" ht="22.5" customHeight="1">
      <c r="A539" s="9"/>
      <c r="B539" s="56"/>
      <c r="C539" s="13" t="str">
        <f>IFERROR(__xludf.DUMMYFUNCTION("IF(B539="""","""",LOWER(REGEXREPLACE(B539,""[^A-Za-z0-9]"",""""))&amp;""-""&amp;TEXT(COUNTIF($B$2:B539,B539),""000""))"),"")</f>
        <v/>
      </c>
      <c r="D539" s="57"/>
      <c r="E539" s="58"/>
      <c r="F539" s="59"/>
      <c r="G539" s="10"/>
      <c r="H539" s="55"/>
      <c r="I539" s="28"/>
      <c r="J539" s="28" t="s">
        <v>646</v>
      </c>
    </row>
    <row r="540" ht="22.5" customHeight="1">
      <c r="A540" s="9"/>
      <c r="B540" s="56"/>
      <c r="C540" s="13" t="str">
        <f>IFERROR(__xludf.DUMMYFUNCTION("IF(B540="""","""",LOWER(REGEXREPLACE(B540,""[^A-Za-z0-9]"",""""))&amp;""-""&amp;TEXT(COUNTIF($B$2:B540,B540),""000""))"),"")</f>
        <v/>
      </c>
      <c r="D540" s="57"/>
      <c r="E540" s="58"/>
      <c r="F540" s="59"/>
      <c r="G540" s="10"/>
      <c r="H540" s="55"/>
      <c r="I540" s="28"/>
      <c r="J540" s="28" t="s">
        <v>646</v>
      </c>
    </row>
    <row r="541" ht="22.5" customHeight="1">
      <c r="A541" s="9"/>
      <c r="B541" s="56"/>
      <c r="C541" s="13" t="str">
        <f>IFERROR(__xludf.DUMMYFUNCTION("IF(B541="""","""",LOWER(REGEXREPLACE(B541,""[^A-Za-z0-9]"",""""))&amp;""-""&amp;TEXT(COUNTIF($B$2:B541,B541),""000""))"),"")</f>
        <v/>
      </c>
      <c r="D541" s="57"/>
      <c r="E541" s="58"/>
      <c r="F541" s="59"/>
      <c r="G541" s="10"/>
      <c r="H541" s="55"/>
      <c r="I541" s="28"/>
      <c r="J541" s="28" t="s">
        <v>646</v>
      </c>
    </row>
    <row r="542" ht="22.5" customHeight="1">
      <c r="A542" s="9"/>
      <c r="B542" s="56"/>
      <c r="C542" s="13" t="str">
        <f>IFERROR(__xludf.DUMMYFUNCTION("IF(B542="""","""",LOWER(REGEXREPLACE(B542,""[^A-Za-z0-9]"",""""))&amp;""-""&amp;TEXT(COUNTIF($B$2:B542,B542),""000""))"),"")</f>
        <v/>
      </c>
      <c r="D542" s="57"/>
      <c r="E542" s="58"/>
      <c r="F542" s="59"/>
      <c r="G542" s="10"/>
      <c r="H542" s="55"/>
      <c r="I542" s="28"/>
      <c r="J542" s="28" t="s">
        <v>646</v>
      </c>
    </row>
    <row r="543" ht="22.5" customHeight="1">
      <c r="A543" s="9"/>
      <c r="B543" s="56"/>
      <c r="C543" s="13" t="str">
        <f>IFERROR(__xludf.DUMMYFUNCTION("IF(B543="""","""",LOWER(REGEXREPLACE(B543,""[^A-Za-z0-9]"",""""))&amp;""-""&amp;TEXT(COUNTIF($B$2:B543,B543),""000""))"),"")</f>
        <v/>
      </c>
      <c r="D543" s="57"/>
      <c r="E543" s="58"/>
      <c r="F543" s="59"/>
      <c r="G543" s="10"/>
      <c r="H543" s="55"/>
      <c r="I543" s="28"/>
      <c r="J543" s="28" t="s">
        <v>646</v>
      </c>
    </row>
    <row r="544" ht="22.5" customHeight="1">
      <c r="A544" s="9"/>
      <c r="B544" s="56"/>
      <c r="C544" s="13" t="str">
        <f>IFERROR(__xludf.DUMMYFUNCTION("IF(B544="""","""",LOWER(REGEXREPLACE(B544,""[^A-Za-z0-9]"",""""))&amp;""-""&amp;TEXT(COUNTIF($B$2:B544,B544),""000""))"),"")</f>
        <v/>
      </c>
      <c r="D544" s="57"/>
      <c r="E544" s="58"/>
      <c r="F544" s="59"/>
      <c r="G544" s="10"/>
      <c r="H544" s="55"/>
      <c r="I544" s="28"/>
      <c r="J544" s="28" t="s">
        <v>646</v>
      </c>
    </row>
    <row r="545" ht="22.5" customHeight="1">
      <c r="A545" s="9"/>
      <c r="B545" s="56"/>
      <c r="C545" s="13" t="str">
        <f>IFERROR(__xludf.DUMMYFUNCTION("IF(B545="""","""",LOWER(REGEXREPLACE(B545,""[^A-Za-z0-9]"",""""))&amp;""-""&amp;TEXT(COUNTIF($B$2:B545,B545),""000""))"),"")</f>
        <v/>
      </c>
      <c r="D545" s="57"/>
      <c r="E545" s="58"/>
      <c r="F545" s="59"/>
      <c r="G545" s="10"/>
      <c r="H545" s="55"/>
      <c r="I545" s="28"/>
      <c r="J545" s="28" t="s">
        <v>646</v>
      </c>
    </row>
    <row r="546" ht="22.5" customHeight="1">
      <c r="A546" s="9"/>
      <c r="B546" s="56"/>
      <c r="C546" s="13" t="str">
        <f>IFERROR(__xludf.DUMMYFUNCTION("IF(B546="""","""",LOWER(REGEXREPLACE(B546,""[^A-Za-z0-9]"",""""))&amp;""-""&amp;TEXT(COUNTIF($B$2:B546,B546),""000""))"),"")</f>
        <v/>
      </c>
      <c r="D546" s="57"/>
      <c r="E546" s="58"/>
      <c r="F546" s="59"/>
      <c r="G546" s="10"/>
      <c r="H546" s="55"/>
      <c r="I546" s="28"/>
      <c r="J546" s="28" t="s">
        <v>646</v>
      </c>
    </row>
    <row r="547" ht="22.5" customHeight="1">
      <c r="A547" s="9"/>
      <c r="B547" s="56"/>
      <c r="C547" s="13" t="str">
        <f>IFERROR(__xludf.DUMMYFUNCTION("IF(B547="""","""",LOWER(REGEXREPLACE(B547,""[^A-Za-z0-9]"",""""))&amp;""-""&amp;TEXT(COUNTIF($B$2:B547,B547),""000""))"),"")</f>
        <v/>
      </c>
      <c r="D547" s="57"/>
      <c r="E547" s="58"/>
      <c r="F547" s="59"/>
      <c r="G547" s="10"/>
      <c r="H547" s="55"/>
      <c r="I547" s="28"/>
      <c r="J547" s="28" t="s">
        <v>646</v>
      </c>
    </row>
    <row r="548" ht="22.5" customHeight="1">
      <c r="A548" s="9"/>
      <c r="B548" s="56"/>
      <c r="C548" s="13" t="str">
        <f>IFERROR(__xludf.DUMMYFUNCTION("IF(B548="""","""",LOWER(REGEXREPLACE(B548,""[^A-Za-z0-9]"",""""))&amp;""-""&amp;TEXT(COUNTIF($B$2:B548,B548),""000""))"),"")</f>
        <v/>
      </c>
      <c r="D548" s="57"/>
      <c r="E548" s="58"/>
      <c r="F548" s="59"/>
      <c r="G548" s="10"/>
      <c r="H548" s="55"/>
      <c r="I548" s="28"/>
      <c r="J548" s="28" t="s">
        <v>646</v>
      </c>
    </row>
    <row r="549" ht="22.5" customHeight="1">
      <c r="A549" s="9"/>
      <c r="B549" s="56"/>
      <c r="C549" s="13" t="str">
        <f>IFERROR(__xludf.DUMMYFUNCTION("IF(B549="""","""",LOWER(REGEXREPLACE(B549,""[^A-Za-z0-9]"",""""))&amp;""-""&amp;TEXT(COUNTIF($B$2:B549,B549),""000""))"),"")</f>
        <v/>
      </c>
      <c r="D549" s="57"/>
      <c r="E549" s="58"/>
      <c r="F549" s="59"/>
      <c r="G549" s="10"/>
      <c r="H549" s="55"/>
      <c r="I549" s="28"/>
      <c r="J549" s="28" t="s">
        <v>646</v>
      </c>
    </row>
    <row r="550" ht="22.5" customHeight="1">
      <c r="A550" s="9"/>
      <c r="B550" s="56"/>
      <c r="C550" s="13" t="str">
        <f>IFERROR(__xludf.DUMMYFUNCTION("IF(B550="""","""",LOWER(REGEXREPLACE(B550,""[^A-Za-z0-9]"",""""))&amp;""-""&amp;TEXT(COUNTIF($B$2:B550,B550),""000""))"),"")</f>
        <v/>
      </c>
      <c r="D550" s="57"/>
      <c r="E550" s="58"/>
      <c r="F550" s="59"/>
      <c r="G550" s="10"/>
      <c r="H550" s="55"/>
      <c r="I550" s="28"/>
      <c r="J550" s="28" t="s">
        <v>646</v>
      </c>
    </row>
    <row r="551" ht="22.5" customHeight="1">
      <c r="A551" s="9"/>
      <c r="B551" s="56"/>
      <c r="C551" s="13" t="str">
        <f>IFERROR(__xludf.DUMMYFUNCTION("IF(B551="""","""",LOWER(REGEXREPLACE(B551,""[^A-Za-z0-9]"",""""))&amp;""-""&amp;TEXT(COUNTIF($B$2:B551,B551),""000""))"),"")</f>
        <v/>
      </c>
      <c r="D551" s="57"/>
      <c r="E551" s="58"/>
      <c r="F551" s="59"/>
      <c r="G551" s="10"/>
      <c r="H551" s="55"/>
      <c r="I551" s="28"/>
      <c r="J551" s="28" t="s">
        <v>646</v>
      </c>
    </row>
    <row r="552" ht="22.5" customHeight="1">
      <c r="A552" s="9"/>
      <c r="B552" s="56"/>
      <c r="C552" s="13" t="str">
        <f>IFERROR(__xludf.DUMMYFUNCTION("IF(B552="""","""",LOWER(REGEXREPLACE(B552,""[^A-Za-z0-9]"",""""))&amp;""-""&amp;TEXT(COUNTIF($B$2:B552,B552),""000""))"),"")</f>
        <v/>
      </c>
      <c r="D552" s="57"/>
      <c r="E552" s="58"/>
      <c r="F552" s="59"/>
      <c r="G552" s="10"/>
      <c r="H552" s="55"/>
      <c r="I552" s="28"/>
      <c r="J552" s="28" t="s">
        <v>646</v>
      </c>
    </row>
    <row r="553" ht="22.5" customHeight="1">
      <c r="A553" s="9"/>
      <c r="B553" s="56"/>
      <c r="C553" s="13" t="str">
        <f>IFERROR(__xludf.DUMMYFUNCTION("IF(B553="""","""",LOWER(REGEXREPLACE(B553,""[^A-Za-z0-9]"",""""))&amp;""-""&amp;TEXT(COUNTIF($B$2:B553,B553),""000""))"),"")</f>
        <v/>
      </c>
      <c r="D553" s="57"/>
      <c r="E553" s="58"/>
      <c r="F553" s="59"/>
      <c r="G553" s="10"/>
      <c r="H553" s="55"/>
      <c r="I553" s="28"/>
      <c r="J553" s="28" t="s">
        <v>646</v>
      </c>
    </row>
    <row r="554" ht="22.5" customHeight="1">
      <c r="A554" s="9"/>
      <c r="B554" s="56"/>
      <c r="C554" s="13" t="str">
        <f>IFERROR(__xludf.DUMMYFUNCTION("IF(B554="""","""",LOWER(REGEXREPLACE(B554,""[^A-Za-z0-9]"",""""))&amp;""-""&amp;TEXT(COUNTIF($B$2:B554,B554),""000""))"),"")</f>
        <v/>
      </c>
      <c r="D554" s="57"/>
      <c r="E554" s="58"/>
      <c r="F554" s="59"/>
      <c r="G554" s="10"/>
      <c r="H554" s="55"/>
      <c r="I554" s="28"/>
      <c r="J554" s="28" t="s">
        <v>646</v>
      </c>
    </row>
    <row r="555" ht="22.5" customHeight="1">
      <c r="A555" s="9"/>
      <c r="B555" s="56"/>
      <c r="C555" s="13" t="str">
        <f>IFERROR(__xludf.DUMMYFUNCTION("IF(B555="""","""",LOWER(REGEXREPLACE(B555,""[^A-Za-z0-9]"",""""))&amp;""-""&amp;TEXT(COUNTIF($B$2:B555,B555),""000""))"),"")</f>
        <v/>
      </c>
      <c r="D555" s="57"/>
      <c r="E555" s="58"/>
      <c r="F555" s="59"/>
      <c r="G555" s="10"/>
      <c r="H555" s="55"/>
      <c r="I555" s="28"/>
      <c r="J555" s="28" t="s">
        <v>646</v>
      </c>
    </row>
    <row r="556" ht="22.5" customHeight="1">
      <c r="A556" s="9"/>
      <c r="B556" s="56"/>
      <c r="C556" s="13" t="str">
        <f>IFERROR(__xludf.DUMMYFUNCTION("IF(B556="""","""",LOWER(REGEXREPLACE(B556,""[^A-Za-z0-9]"",""""))&amp;""-""&amp;TEXT(COUNTIF($B$2:B556,B556),""000""))"),"")</f>
        <v/>
      </c>
      <c r="D556" s="57"/>
      <c r="E556" s="58"/>
      <c r="F556" s="59"/>
      <c r="G556" s="10"/>
      <c r="H556" s="55"/>
      <c r="I556" s="28"/>
      <c r="J556" s="28" t="s">
        <v>646</v>
      </c>
    </row>
    <row r="557" ht="22.5" customHeight="1">
      <c r="A557" s="9"/>
      <c r="B557" s="56"/>
      <c r="C557" s="13" t="str">
        <f>IFERROR(__xludf.DUMMYFUNCTION("IF(B557="""","""",LOWER(REGEXREPLACE(B557,""[^A-Za-z0-9]"",""""))&amp;""-""&amp;TEXT(COUNTIF($B$2:B557,B557),""000""))"),"")</f>
        <v/>
      </c>
      <c r="D557" s="57"/>
      <c r="E557" s="58"/>
      <c r="F557" s="59"/>
      <c r="G557" s="10"/>
      <c r="H557" s="55"/>
      <c r="I557" s="28"/>
      <c r="J557" s="28" t="s">
        <v>646</v>
      </c>
    </row>
    <row r="558" ht="22.5" customHeight="1">
      <c r="A558" s="9"/>
      <c r="B558" s="56"/>
      <c r="C558" s="13" t="str">
        <f>IFERROR(__xludf.DUMMYFUNCTION("IF(B558="""","""",LOWER(REGEXREPLACE(B558,""[^A-Za-z0-9]"",""""))&amp;""-""&amp;TEXT(COUNTIF($B$2:B558,B558),""000""))"),"")</f>
        <v/>
      </c>
      <c r="D558" s="57"/>
      <c r="E558" s="58"/>
      <c r="F558" s="59"/>
      <c r="G558" s="10"/>
      <c r="H558" s="55"/>
      <c r="I558" s="28"/>
      <c r="J558" s="28" t="s">
        <v>646</v>
      </c>
    </row>
    <row r="559" ht="22.5" customHeight="1">
      <c r="A559" s="9"/>
      <c r="B559" s="56"/>
      <c r="C559" s="13" t="str">
        <f>IFERROR(__xludf.DUMMYFUNCTION("IF(B559="""","""",LOWER(REGEXREPLACE(B559,""[^A-Za-z0-9]"",""""))&amp;""-""&amp;TEXT(COUNTIF($B$2:B559,B559),""000""))"),"")</f>
        <v/>
      </c>
      <c r="D559" s="57"/>
      <c r="E559" s="58"/>
      <c r="F559" s="59"/>
      <c r="G559" s="10"/>
      <c r="H559" s="55"/>
      <c r="I559" s="28"/>
      <c r="J559" s="28" t="s">
        <v>646</v>
      </c>
    </row>
    <row r="560" ht="22.5" customHeight="1">
      <c r="A560" s="9"/>
      <c r="B560" s="56"/>
      <c r="C560" s="13" t="str">
        <f>IFERROR(__xludf.DUMMYFUNCTION("IF(B560="""","""",LOWER(REGEXREPLACE(B560,""[^A-Za-z0-9]"",""""))&amp;""-""&amp;TEXT(COUNTIF($B$2:B560,B560),""000""))"),"")</f>
        <v/>
      </c>
      <c r="D560" s="57"/>
      <c r="E560" s="58"/>
      <c r="F560" s="59"/>
      <c r="G560" s="10"/>
      <c r="H560" s="55"/>
      <c r="I560" s="28"/>
      <c r="J560" s="28" t="s">
        <v>646</v>
      </c>
    </row>
    <row r="561" ht="22.5" customHeight="1">
      <c r="A561" s="9"/>
      <c r="B561" s="56"/>
      <c r="C561" s="13" t="str">
        <f>IFERROR(__xludf.DUMMYFUNCTION("IF(B561="""","""",LOWER(REGEXREPLACE(B561,""[^A-Za-z0-9]"",""""))&amp;""-""&amp;TEXT(COUNTIF($B$2:B561,B561),""000""))"),"")</f>
        <v/>
      </c>
      <c r="D561" s="57"/>
      <c r="E561" s="58"/>
      <c r="F561" s="59"/>
      <c r="G561" s="10"/>
      <c r="H561" s="55"/>
      <c r="I561" s="28"/>
      <c r="J561" s="28" t="s">
        <v>646</v>
      </c>
    </row>
    <row r="562" ht="22.5" customHeight="1">
      <c r="A562" s="9"/>
      <c r="B562" s="56"/>
      <c r="C562" s="13" t="str">
        <f>IFERROR(__xludf.DUMMYFUNCTION("IF(B562="""","""",LOWER(REGEXREPLACE(B562,""[^A-Za-z0-9]"",""""))&amp;""-""&amp;TEXT(COUNTIF($B$2:B562,B562),""000""))"),"")</f>
        <v/>
      </c>
      <c r="D562" s="57"/>
      <c r="E562" s="58"/>
      <c r="F562" s="59"/>
      <c r="G562" s="10"/>
      <c r="H562" s="55"/>
      <c r="I562" s="28"/>
      <c r="J562" s="28" t="s">
        <v>646</v>
      </c>
    </row>
    <row r="563" ht="22.5" customHeight="1">
      <c r="A563" s="9"/>
      <c r="B563" s="56"/>
      <c r="C563" s="13" t="str">
        <f>IFERROR(__xludf.DUMMYFUNCTION("IF(B563="""","""",LOWER(REGEXREPLACE(B563,""[^A-Za-z0-9]"",""""))&amp;""-""&amp;TEXT(COUNTIF($B$2:B563,B563),""000""))"),"")</f>
        <v/>
      </c>
      <c r="D563" s="57"/>
      <c r="E563" s="58"/>
      <c r="F563" s="59"/>
      <c r="G563" s="10"/>
      <c r="H563" s="55"/>
      <c r="I563" s="28"/>
      <c r="J563" s="28" t="s">
        <v>646</v>
      </c>
    </row>
    <row r="564" ht="22.5" customHeight="1">
      <c r="A564" s="9"/>
      <c r="B564" s="56"/>
      <c r="C564" s="13" t="str">
        <f>IFERROR(__xludf.DUMMYFUNCTION("IF(B564="""","""",LOWER(REGEXREPLACE(B564,""[^A-Za-z0-9]"",""""))&amp;""-""&amp;TEXT(COUNTIF($B$2:B564,B564),""000""))"),"")</f>
        <v/>
      </c>
      <c r="D564" s="57"/>
      <c r="E564" s="58"/>
      <c r="F564" s="59"/>
      <c r="G564" s="10"/>
      <c r="H564" s="55"/>
      <c r="I564" s="28"/>
      <c r="J564" s="28" t="s">
        <v>646</v>
      </c>
    </row>
    <row r="565" ht="22.5" customHeight="1">
      <c r="A565" s="9"/>
      <c r="B565" s="56"/>
      <c r="C565" s="13" t="str">
        <f>IFERROR(__xludf.DUMMYFUNCTION("IF(B565="""","""",LOWER(REGEXREPLACE(B565,""[^A-Za-z0-9]"",""""))&amp;""-""&amp;TEXT(COUNTIF($B$2:B565,B565),""000""))"),"")</f>
        <v/>
      </c>
      <c r="D565" s="57"/>
      <c r="E565" s="58"/>
      <c r="F565" s="59"/>
      <c r="G565" s="10"/>
      <c r="H565" s="55"/>
      <c r="I565" s="28"/>
      <c r="J565" s="28" t="s">
        <v>646</v>
      </c>
    </row>
    <row r="566" ht="22.5" customHeight="1">
      <c r="A566" s="9"/>
      <c r="B566" s="56"/>
      <c r="C566" s="13" t="str">
        <f>IFERROR(__xludf.DUMMYFUNCTION("IF(B566="""","""",LOWER(REGEXREPLACE(B566,""[^A-Za-z0-9]"",""""))&amp;""-""&amp;TEXT(COUNTIF($B$2:B566,B566),""000""))"),"")</f>
        <v/>
      </c>
      <c r="D566" s="57"/>
      <c r="E566" s="58"/>
      <c r="F566" s="59"/>
      <c r="G566" s="10"/>
      <c r="H566" s="55"/>
      <c r="I566" s="28"/>
      <c r="J566" s="28" t="s">
        <v>646</v>
      </c>
    </row>
    <row r="567" ht="22.5" customHeight="1">
      <c r="A567" s="9"/>
      <c r="B567" s="56"/>
      <c r="C567" s="13" t="str">
        <f>IFERROR(__xludf.DUMMYFUNCTION("IF(B567="""","""",LOWER(REGEXREPLACE(B567,""[^A-Za-z0-9]"",""""))&amp;""-""&amp;TEXT(COUNTIF($B$2:B567,B567),""000""))"),"")</f>
        <v/>
      </c>
      <c r="D567" s="57"/>
      <c r="E567" s="58"/>
      <c r="F567" s="59"/>
      <c r="G567" s="10"/>
      <c r="H567" s="55"/>
      <c r="I567" s="28"/>
      <c r="J567" s="28" t="s">
        <v>646</v>
      </c>
    </row>
    <row r="568" ht="22.5" customHeight="1">
      <c r="A568" s="9"/>
      <c r="B568" s="56"/>
      <c r="C568" s="13" t="str">
        <f>IFERROR(__xludf.DUMMYFUNCTION("IF(B568="""","""",LOWER(REGEXREPLACE(B568,""[^A-Za-z0-9]"",""""))&amp;""-""&amp;TEXT(COUNTIF($B$2:B568,B568),""000""))"),"")</f>
        <v/>
      </c>
      <c r="D568" s="57"/>
      <c r="E568" s="58"/>
      <c r="F568" s="59"/>
      <c r="G568" s="10"/>
      <c r="H568" s="55"/>
      <c r="I568" s="28"/>
      <c r="J568" s="28" t="s">
        <v>646</v>
      </c>
    </row>
    <row r="569" ht="22.5" customHeight="1">
      <c r="A569" s="9"/>
      <c r="B569" s="56"/>
      <c r="C569" s="13" t="str">
        <f>IFERROR(__xludf.DUMMYFUNCTION("IF(B569="""","""",LOWER(REGEXREPLACE(B569,""[^A-Za-z0-9]"",""""))&amp;""-""&amp;TEXT(COUNTIF($B$2:B569,B569),""000""))"),"")</f>
        <v/>
      </c>
      <c r="D569" s="57"/>
      <c r="E569" s="58"/>
      <c r="F569" s="59"/>
      <c r="G569" s="10"/>
      <c r="H569" s="55"/>
      <c r="I569" s="28"/>
      <c r="J569" s="28" t="s">
        <v>646</v>
      </c>
    </row>
    <row r="570" ht="22.5" customHeight="1">
      <c r="A570" s="9"/>
      <c r="B570" s="56"/>
      <c r="C570" s="13" t="str">
        <f>IFERROR(__xludf.DUMMYFUNCTION("IF(B570="""","""",LOWER(REGEXREPLACE(B570,""[^A-Za-z0-9]"",""""))&amp;""-""&amp;TEXT(COUNTIF($B$2:B570,B570),""000""))"),"")</f>
        <v/>
      </c>
      <c r="D570" s="57"/>
      <c r="E570" s="58"/>
      <c r="F570" s="59"/>
      <c r="G570" s="10"/>
      <c r="H570" s="55"/>
      <c r="I570" s="28"/>
      <c r="J570" s="28" t="s">
        <v>646</v>
      </c>
    </row>
    <row r="571" ht="22.5" customHeight="1">
      <c r="A571" s="9"/>
      <c r="B571" s="56"/>
      <c r="C571" s="13" t="str">
        <f>IFERROR(__xludf.DUMMYFUNCTION("IF(B571="""","""",LOWER(REGEXREPLACE(B571,""[^A-Za-z0-9]"",""""))&amp;""-""&amp;TEXT(COUNTIF($B$2:B571,B571),""000""))"),"")</f>
        <v/>
      </c>
      <c r="D571" s="57"/>
      <c r="E571" s="58"/>
      <c r="F571" s="59"/>
      <c r="G571" s="10"/>
      <c r="H571" s="55"/>
      <c r="I571" s="28"/>
      <c r="J571" s="28" t="s">
        <v>646</v>
      </c>
    </row>
    <row r="572" ht="22.5" customHeight="1">
      <c r="A572" s="9"/>
      <c r="B572" s="56"/>
      <c r="C572" s="13" t="str">
        <f>IFERROR(__xludf.DUMMYFUNCTION("IF(B572="""","""",LOWER(REGEXREPLACE(B572,""[^A-Za-z0-9]"",""""))&amp;""-""&amp;TEXT(COUNTIF($B$2:B572,B572),""000""))"),"")</f>
        <v/>
      </c>
      <c r="D572" s="57"/>
      <c r="E572" s="58"/>
      <c r="F572" s="59"/>
      <c r="G572" s="10"/>
      <c r="H572" s="55"/>
      <c r="I572" s="28"/>
      <c r="J572" s="28" t="s">
        <v>646</v>
      </c>
    </row>
    <row r="573" ht="22.5" customHeight="1">
      <c r="A573" s="9"/>
      <c r="B573" s="56"/>
      <c r="C573" s="13" t="str">
        <f>IFERROR(__xludf.DUMMYFUNCTION("IF(B573="""","""",LOWER(REGEXREPLACE(B573,""[^A-Za-z0-9]"",""""))&amp;""-""&amp;TEXT(COUNTIF($B$2:B573,B573),""000""))"),"")</f>
        <v/>
      </c>
      <c r="D573" s="57"/>
      <c r="E573" s="58"/>
      <c r="F573" s="59"/>
      <c r="G573" s="10"/>
      <c r="H573" s="55"/>
      <c r="I573" s="28"/>
      <c r="J573" s="28" t="s">
        <v>646</v>
      </c>
    </row>
    <row r="574" ht="22.5" customHeight="1">
      <c r="A574" s="9"/>
      <c r="B574" s="56"/>
      <c r="C574" s="13" t="str">
        <f>IFERROR(__xludf.DUMMYFUNCTION("IF(B574="""","""",LOWER(REGEXREPLACE(B574,""[^A-Za-z0-9]"",""""))&amp;""-""&amp;TEXT(COUNTIF($B$2:B574,B574),""000""))"),"")</f>
        <v/>
      </c>
      <c r="D574" s="57"/>
      <c r="E574" s="58"/>
      <c r="F574" s="59"/>
      <c r="G574" s="10"/>
      <c r="H574" s="55"/>
      <c r="I574" s="28"/>
      <c r="J574" s="28" t="s">
        <v>646</v>
      </c>
    </row>
    <row r="575" ht="22.5" customHeight="1">
      <c r="A575" s="9"/>
      <c r="B575" s="56"/>
      <c r="C575" s="13" t="str">
        <f>IFERROR(__xludf.DUMMYFUNCTION("IF(B575="""","""",LOWER(REGEXREPLACE(B575,""[^A-Za-z0-9]"",""""))&amp;""-""&amp;TEXT(COUNTIF($B$2:B575,B575),""000""))"),"")</f>
        <v/>
      </c>
      <c r="D575" s="57"/>
      <c r="E575" s="58"/>
      <c r="F575" s="59"/>
      <c r="G575" s="10"/>
      <c r="H575" s="55"/>
      <c r="I575" s="28"/>
      <c r="J575" s="28" t="s">
        <v>646</v>
      </c>
    </row>
    <row r="576" ht="22.5" customHeight="1">
      <c r="A576" s="9"/>
      <c r="B576" s="56"/>
      <c r="C576" s="13" t="str">
        <f>IFERROR(__xludf.DUMMYFUNCTION("IF(B576="""","""",LOWER(REGEXREPLACE(B576,""[^A-Za-z0-9]"",""""))&amp;""-""&amp;TEXT(COUNTIF($B$2:B576,B576),""000""))"),"")</f>
        <v/>
      </c>
      <c r="D576" s="57"/>
      <c r="E576" s="58"/>
      <c r="F576" s="59"/>
      <c r="G576" s="10"/>
      <c r="H576" s="55"/>
      <c r="I576" s="28"/>
      <c r="J576" s="28" t="s">
        <v>646</v>
      </c>
    </row>
    <row r="577" ht="22.5" customHeight="1">
      <c r="A577" s="9"/>
      <c r="B577" s="56"/>
      <c r="C577" s="13" t="str">
        <f>IFERROR(__xludf.DUMMYFUNCTION("IF(B577="""","""",LOWER(REGEXREPLACE(B577,""[^A-Za-z0-9]"",""""))&amp;""-""&amp;TEXT(COUNTIF($B$2:B577,B577),""000""))"),"")</f>
        <v/>
      </c>
      <c r="D577" s="57"/>
      <c r="E577" s="58"/>
      <c r="F577" s="59"/>
      <c r="G577" s="10"/>
      <c r="H577" s="55"/>
      <c r="I577" s="28"/>
      <c r="J577" s="28" t="s">
        <v>646</v>
      </c>
    </row>
    <row r="578" ht="22.5" customHeight="1">
      <c r="A578" s="9"/>
      <c r="B578" s="56"/>
      <c r="C578" s="13" t="str">
        <f>IFERROR(__xludf.DUMMYFUNCTION("IF(B578="""","""",LOWER(REGEXREPLACE(B578,""[^A-Za-z0-9]"",""""))&amp;""-""&amp;TEXT(COUNTIF($B$2:B578,B578),""000""))"),"")</f>
        <v/>
      </c>
      <c r="D578" s="57"/>
      <c r="E578" s="58"/>
      <c r="F578" s="59"/>
      <c r="G578" s="10"/>
      <c r="H578" s="55"/>
      <c r="I578" s="28"/>
      <c r="J578" s="28" t="s">
        <v>646</v>
      </c>
    </row>
    <row r="579" ht="22.5" customHeight="1">
      <c r="A579" s="9"/>
      <c r="B579" s="56"/>
      <c r="C579" s="13" t="str">
        <f>IFERROR(__xludf.DUMMYFUNCTION("IF(B579="""","""",LOWER(REGEXREPLACE(B579,""[^A-Za-z0-9]"",""""))&amp;""-""&amp;TEXT(COUNTIF($B$2:B579,B579),""000""))"),"")</f>
        <v/>
      </c>
      <c r="D579" s="57"/>
      <c r="E579" s="58"/>
      <c r="F579" s="59"/>
      <c r="G579" s="10"/>
      <c r="H579" s="55"/>
      <c r="I579" s="28"/>
      <c r="J579" s="28" t="s">
        <v>646</v>
      </c>
    </row>
    <row r="580" ht="22.5" customHeight="1">
      <c r="A580" s="9"/>
      <c r="B580" s="56"/>
      <c r="C580" s="13" t="str">
        <f>IFERROR(__xludf.DUMMYFUNCTION("IF(B580="""","""",LOWER(REGEXREPLACE(B580,""[^A-Za-z0-9]"",""""))&amp;""-""&amp;TEXT(COUNTIF($B$2:B580,B580),""000""))"),"")</f>
        <v/>
      </c>
      <c r="D580" s="57"/>
      <c r="E580" s="58"/>
      <c r="F580" s="59"/>
      <c r="G580" s="10"/>
      <c r="H580" s="55"/>
      <c r="I580" s="28"/>
      <c r="J580" s="28" t="s">
        <v>646</v>
      </c>
    </row>
    <row r="581" ht="22.5" customHeight="1">
      <c r="A581" s="9"/>
      <c r="B581" s="56"/>
      <c r="C581" s="13" t="str">
        <f>IFERROR(__xludf.DUMMYFUNCTION("IF(B581="""","""",LOWER(REGEXREPLACE(B581,""[^A-Za-z0-9]"",""""))&amp;""-""&amp;TEXT(COUNTIF($B$2:B581,B581),""000""))"),"")</f>
        <v/>
      </c>
      <c r="D581" s="57"/>
      <c r="E581" s="58"/>
      <c r="F581" s="59"/>
      <c r="G581" s="10"/>
      <c r="H581" s="55"/>
      <c r="I581" s="28"/>
      <c r="J581" s="28" t="s">
        <v>646</v>
      </c>
    </row>
    <row r="582" ht="22.5" customHeight="1">
      <c r="A582" s="9"/>
      <c r="B582" s="56"/>
      <c r="C582" s="13" t="str">
        <f>IFERROR(__xludf.DUMMYFUNCTION("IF(B582="""","""",LOWER(REGEXREPLACE(B582,""[^A-Za-z0-9]"",""""))&amp;""-""&amp;TEXT(COUNTIF($B$2:B582,B582),""000""))"),"")</f>
        <v/>
      </c>
      <c r="D582" s="57"/>
      <c r="E582" s="58"/>
      <c r="F582" s="59"/>
      <c r="G582" s="10"/>
      <c r="H582" s="55"/>
      <c r="I582" s="28"/>
      <c r="J582" s="28" t="s">
        <v>646</v>
      </c>
    </row>
    <row r="583" ht="22.5" customHeight="1">
      <c r="A583" s="9"/>
      <c r="B583" s="56"/>
      <c r="C583" s="13" t="str">
        <f>IFERROR(__xludf.DUMMYFUNCTION("IF(B583="""","""",LOWER(REGEXREPLACE(B583,""[^A-Za-z0-9]"",""""))&amp;""-""&amp;TEXT(COUNTIF($B$2:B583,B583),""000""))"),"")</f>
        <v/>
      </c>
      <c r="D583" s="57"/>
      <c r="E583" s="58"/>
      <c r="F583" s="59"/>
      <c r="G583" s="10"/>
      <c r="H583" s="55"/>
      <c r="I583" s="28"/>
      <c r="J583" s="28" t="s">
        <v>646</v>
      </c>
    </row>
    <row r="584" ht="22.5" customHeight="1">
      <c r="A584" s="9"/>
      <c r="B584" s="56"/>
      <c r="C584" s="13" t="str">
        <f>IFERROR(__xludf.DUMMYFUNCTION("IF(B584="""","""",LOWER(REGEXREPLACE(B584,""[^A-Za-z0-9]"",""""))&amp;""-""&amp;TEXT(COUNTIF($B$2:B584,B584),""000""))"),"")</f>
        <v/>
      </c>
      <c r="D584" s="57"/>
      <c r="E584" s="58"/>
      <c r="F584" s="59"/>
      <c r="G584" s="10"/>
      <c r="H584" s="55"/>
      <c r="I584" s="28"/>
      <c r="J584" s="28" t="s">
        <v>646</v>
      </c>
    </row>
    <row r="585" ht="22.5" customHeight="1">
      <c r="A585" s="9"/>
      <c r="B585" s="56"/>
      <c r="C585" s="13" t="str">
        <f>IFERROR(__xludf.DUMMYFUNCTION("IF(B585="""","""",LOWER(REGEXREPLACE(B585,""[^A-Za-z0-9]"",""""))&amp;""-""&amp;TEXT(COUNTIF($B$2:B585,B585),""000""))"),"")</f>
        <v/>
      </c>
      <c r="D585" s="57"/>
      <c r="E585" s="58"/>
      <c r="F585" s="59"/>
      <c r="G585" s="10"/>
      <c r="H585" s="55"/>
      <c r="I585" s="28"/>
      <c r="J585" s="28" t="s">
        <v>646</v>
      </c>
    </row>
    <row r="586" ht="22.5" customHeight="1">
      <c r="A586" s="9"/>
      <c r="B586" s="56"/>
      <c r="C586" s="13" t="str">
        <f>IFERROR(__xludf.DUMMYFUNCTION("IF(B586="""","""",LOWER(REGEXREPLACE(B586,""[^A-Za-z0-9]"",""""))&amp;""-""&amp;TEXT(COUNTIF($B$2:B586,B586),""000""))"),"")</f>
        <v/>
      </c>
      <c r="D586" s="57"/>
      <c r="E586" s="58"/>
      <c r="F586" s="59"/>
      <c r="G586" s="10"/>
      <c r="H586" s="55"/>
      <c r="I586" s="28"/>
      <c r="J586" s="28" t="s">
        <v>646</v>
      </c>
    </row>
    <row r="587" ht="22.5" customHeight="1">
      <c r="A587" s="9"/>
      <c r="B587" s="56"/>
      <c r="C587" s="13" t="str">
        <f>IFERROR(__xludf.DUMMYFUNCTION("IF(B587="""","""",LOWER(REGEXREPLACE(B587,""[^A-Za-z0-9]"",""""))&amp;""-""&amp;TEXT(COUNTIF($B$2:B587,B587),""000""))"),"")</f>
        <v/>
      </c>
      <c r="D587" s="57"/>
      <c r="E587" s="58"/>
      <c r="F587" s="59"/>
      <c r="G587" s="10"/>
      <c r="H587" s="55"/>
      <c r="I587" s="28"/>
      <c r="J587" s="28" t="s">
        <v>646</v>
      </c>
    </row>
    <row r="588" ht="22.5" customHeight="1">
      <c r="A588" s="9"/>
      <c r="B588" s="56"/>
      <c r="C588" s="13" t="str">
        <f>IFERROR(__xludf.DUMMYFUNCTION("IF(B588="""","""",LOWER(REGEXREPLACE(B588,""[^A-Za-z0-9]"",""""))&amp;""-""&amp;TEXT(COUNTIF($B$2:B588,B588),""000""))"),"")</f>
        <v/>
      </c>
      <c r="D588" s="57"/>
      <c r="E588" s="58"/>
      <c r="F588" s="59"/>
      <c r="G588" s="10"/>
      <c r="H588" s="55"/>
      <c r="I588" s="28"/>
      <c r="J588" s="28" t="s">
        <v>646</v>
      </c>
    </row>
    <row r="589" ht="22.5" customHeight="1">
      <c r="A589" s="9"/>
      <c r="B589" s="56"/>
      <c r="C589" s="13" t="str">
        <f>IFERROR(__xludf.DUMMYFUNCTION("IF(B589="""","""",LOWER(REGEXREPLACE(B589,""[^A-Za-z0-9]"",""""))&amp;""-""&amp;TEXT(COUNTIF($B$2:B589,B589),""000""))"),"")</f>
        <v/>
      </c>
      <c r="D589" s="57"/>
      <c r="E589" s="58"/>
      <c r="F589" s="59"/>
      <c r="G589" s="10"/>
      <c r="H589" s="55"/>
      <c r="I589" s="28"/>
      <c r="J589" s="28" t="s">
        <v>646</v>
      </c>
    </row>
    <row r="590" ht="22.5" customHeight="1">
      <c r="A590" s="9"/>
      <c r="B590" s="56"/>
      <c r="C590" s="13" t="str">
        <f>IFERROR(__xludf.DUMMYFUNCTION("IF(B590="""","""",LOWER(REGEXREPLACE(B590,""[^A-Za-z0-9]"",""""))&amp;""-""&amp;TEXT(COUNTIF($B$2:B590,B590),""000""))"),"")</f>
        <v/>
      </c>
      <c r="D590" s="57"/>
      <c r="E590" s="58"/>
      <c r="F590" s="59"/>
      <c r="G590" s="10"/>
      <c r="H590" s="55"/>
      <c r="I590" s="28"/>
      <c r="J590" s="28" t="s">
        <v>646</v>
      </c>
    </row>
    <row r="591" ht="22.5" customHeight="1">
      <c r="A591" s="9"/>
      <c r="B591" s="56"/>
      <c r="C591" s="13" t="str">
        <f>IFERROR(__xludf.DUMMYFUNCTION("IF(B591="""","""",LOWER(REGEXREPLACE(B591,""[^A-Za-z0-9]"",""""))&amp;""-""&amp;TEXT(COUNTIF($B$2:B591,B591),""000""))"),"")</f>
        <v/>
      </c>
      <c r="D591" s="57"/>
      <c r="E591" s="58"/>
      <c r="F591" s="59"/>
      <c r="G591" s="10"/>
      <c r="H591" s="55"/>
      <c r="I591" s="28"/>
      <c r="J591" s="28" t="s">
        <v>646</v>
      </c>
    </row>
    <row r="592" ht="22.5" customHeight="1">
      <c r="A592" s="9"/>
      <c r="B592" s="56"/>
      <c r="C592" s="13" t="str">
        <f>IFERROR(__xludf.DUMMYFUNCTION("IF(B592="""","""",LOWER(REGEXREPLACE(B592,""[^A-Za-z0-9]"",""""))&amp;""-""&amp;TEXT(COUNTIF($B$2:B592,B592),""000""))"),"")</f>
        <v/>
      </c>
      <c r="D592" s="57"/>
      <c r="E592" s="58"/>
      <c r="F592" s="59"/>
      <c r="G592" s="10"/>
      <c r="H592" s="55"/>
      <c r="I592" s="28"/>
      <c r="J592" s="28" t="s">
        <v>646</v>
      </c>
    </row>
    <row r="593" ht="22.5" customHeight="1">
      <c r="A593" s="9"/>
      <c r="B593" s="56"/>
      <c r="C593" s="13" t="str">
        <f>IFERROR(__xludf.DUMMYFUNCTION("IF(B593="""","""",LOWER(REGEXREPLACE(B593,""[^A-Za-z0-9]"",""""))&amp;""-""&amp;TEXT(COUNTIF($B$2:B593,B593),""000""))"),"")</f>
        <v/>
      </c>
      <c r="D593" s="57"/>
      <c r="E593" s="58"/>
      <c r="F593" s="59"/>
      <c r="G593" s="10"/>
      <c r="H593" s="55"/>
      <c r="I593" s="28"/>
      <c r="J593" s="28" t="s">
        <v>646</v>
      </c>
    </row>
    <row r="594" ht="22.5" customHeight="1">
      <c r="A594" s="9"/>
      <c r="B594" s="56"/>
      <c r="C594" s="13" t="str">
        <f>IFERROR(__xludf.DUMMYFUNCTION("IF(B594="""","""",LOWER(REGEXREPLACE(B594,""[^A-Za-z0-9]"",""""))&amp;""-""&amp;TEXT(COUNTIF($B$2:B594,B594),""000""))"),"")</f>
        <v/>
      </c>
      <c r="D594" s="57"/>
      <c r="E594" s="58"/>
      <c r="F594" s="59"/>
      <c r="G594" s="10"/>
      <c r="H594" s="55"/>
      <c r="I594" s="28"/>
      <c r="J594" s="28" t="s">
        <v>646</v>
      </c>
    </row>
    <row r="595" ht="22.5" customHeight="1">
      <c r="A595" s="9"/>
      <c r="B595" s="56"/>
      <c r="C595" s="13" t="str">
        <f>IFERROR(__xludf.DUMMYFUNCTION("IF(B595="""","""",LOWER(REGEXREPLACE(B595,""[^A-Za-z0-9]"",""""))&amp;""-""&amp;TEXT(COUNTIF($B$2:B595,B595),""000""))"),"")</f>
        <v/>
      </c>
      <c r="D595" s="57"/>
      <c r="E595" s="58"/>
      <c r="F595" s="59"/>
      <c r="G595" s="10"/>
      <c r="H595" s="55"/>
      <c r="I595" s="28"/>
      <c r="J595" s="28" t="s">
        <v>646</v>
      </c>
    </row>
    <row r="596" ht="22.5" customHeight="1">
      <c r="A596" s="9"/>
      <c r="B596" s="56"/>
      <c r="C596" s="13" t="str">
        <f>IFERROR(__xludf.DUMMYFUNCTION("IF(B596="""","""",LOWER(REGEXREPLACE(B596,""[^A-Za-z0-9]"",""""))&amp;""-""&amp;TEXT(COUNTIF($B$2:B596,B596),""000""))"),"")</f>
        <v/>
      </c>
      <c r="D596" s="57"/>
      <c r="E596" s="58"/>
      <c r="F596" s="59"/>
      <c r="G596" s="10"/>
      <c r="H596" s="55"/>
      <c r="I596" s="28"/>
      <c r="J596" s="28" t="s">
        <v>646</v>
      </c>
    </row>
    <row r="597" ht="22.5" customHeight="1">
      <c r="A597" s="9"/>
      <c r="B597" s="56"/>
      <c r="C597" s="13" t="str">
        <f>IFERROR(__xludf.DUMMYFUNCTION("IF(B597="""","""",LOWER(REGEXREPLACE(B597,""[^A-Za-z0-9]"",""""))&amp;""-""&amp;TEXT(COUNTIF($B$2:B597,B597),""000""))"),"")</f>
        <v/>
      </c>
      <c r="D597" s="57"/>
      <c r="E597" s="58"/>
      <c r="F597" s="59"/>
      <c r="G597" s="10"/>
      <c r="H597" s="55"/>
      <c r="I597" s="28"/>
      <c r="J597" s="28" t="s">
        <v>646</v>
      </c>
    </row>
    <row r="598" ht="22.5" customHeight="1">
      <c r="A598" s="9"/>
      <c r="B598" s="56"/>
      <c r="C598" s="13" t="str">
        <f>IFERROR(__xludf.DUMMYFUNCTION("IF(B598="""","""",LOWER(REGEXREPLACE(B598,""[^A-Za-z0-9]"",""""))&amp;""-""&amp;TEXT(COUNTIF($B$2:B598,B598),""000""))"),"")</f>
        <v/>
      </c>
      <c r="D598" s="57"/>
      <c r="E598" s="58"/>
      <c r="F598" s="59"/>
      <c r="G598" s="10"/>
      <c r="H598" s="55"/>
      <c r="I598" s="28"/>
      <c r="J598" s="28" t="s">
        <v>646</v>
      </c>
    </row>
    <row r="599" ht="22.5" customHeight="1">
      <c r="A599" s="9"/>
      <c r="B599" s="56"/>
      <c r="C599" s="13" t="str">
        <f>IFERROR(__xludf.DUMMYFUNCTION("IF(B599="""","""",LOWER(REGEXREPLACE(B599,""[^A-Za-z0-9]"",""""))&amp;""-""&amp;TEXT(COUNTIF($B$2:B599,B599),""000""))"),"")</f>
        <v/>
      </c>
      <c r="D599" s="57"/>
      <c r="E599" s="58"/>
      <c r="F599" s="59"/>
      <c r="G599" s="10"/>
      <c r="H599" s="55"/>
      <c r="I599" s="28"/>
      <c r="J599" s="28" t="s">
        <v>646</v>
      </c>
    </row>
    <row r="600" ht="22.5" customHeight="1">
      <c r="A600" s="9"/>
      <c r="B600" s="56"/>
      <c r="C600" s="13" t="str">
        <f>IFERROR(__xludf.DUMMYFUNCTION("IF(B600="""","""",LOWER(REGEXREPLACE(B600,""[^A-Za-z0-9]"",""""))&amp;""-""&amp;TEXT(COUNTIF($B$2:B600,B600),""000""))"),"")</f>
        <v/>
      </c>
      <c r="D600" s="57"/>
      <c r="E600" s="58"/>
      <c r="F600" s="59"/>
      <c r="G600" s="10"/>
      <c r="H600" s="55"/>
      <c r="I600" s="28"/>
      <c r="J600" s="28" t="s">
        <v>646</v>
      </c>
    </row>
    <row r="601" ht="22.5" customHeight="1">
      <c r="A601" s="9"/>
      <c r="B601" s="56"/>
      <c r="C601" s="13" t="str">
        <f>IFERROR(__xludf.DUMMYFUNCTION("IF(B601="""","""",LOWER(REGEXREPLACE(B601,""[^A-Za-z0-9]"",""""))&amp;""-""&amp;TEXT(COUNTIF($B$2:B601,B601),""000""))"),"")</f>
        <v/>
      </c>
      <c r="D601" s="57"/>
      <c r="E601" s="58"/>
      <c r="F601" s="59"/>
      <c r="G601" s="10"/>
      <c r="H601" s="55"/>
      <c r="I601" s="28"/>
      <c r="J601" s="28" t="s">
        <v>646</v>
      </c>
    </row>
    <row r="602" ht="22.5" customHeight="1">
      <c r="A602" s="9"/>
      <c r="B602" s="56"/>
      <c r="C602" s="13" t="str">
        <f>IFERROR(__xludf.DUMMYFUNCTION("IF(B602="""","""",LOWER(REGEXREPLACE(B602,""[^A-Za-z0-9]"",""""))&amp;""-""&amp;TEXT(COUNTIF($B$2:B602,B602),""000""))"),"")</f>
        <v/>
      </c>
      <c r="D602" s="57"/>
      <c r="E602" s="58"/>
      <c r="F602" s="59"/>
      <c r="G602" s="10"/>
      <c r="H602" s="55"/>
      <c r="I602" s="28"/>
      <c r="J602" s="28" t="s">
        <v>646</v>
      </c>
    </row>
    <row r="603" ht="22.5" customHeight="1">
      <c r="A603" s="9"/>
      <c r="B603" s="56"/>
      <c r="C603" s="13" t="str">
        <f>IFERROR(__xludf.DUMMYFUNCTION("IF(B603="""","""",LOWER(REGEXREPLACE(B603,""[^A-Za-z0-9]"",""""))&amp;""-""&amp;TEXT(COUNTIF($B$2:B603,B603),""000""))"),"")</f>
        <v/>
      </c>
      <c r="D603" s="57"/>
      <c r="E603" s="58"/>
      <c r="F603" s="59"/>
      <c r="G603" s="10"/>
      <c r="H603" s="55"/>
      <c r="I603" s="28"/>
      <c r="J603" s="28" t="s">
        <v>646</v>
      </c>
    </row>
    <row r="604" ht="22.5" customHeight="1">
      <c r="A604" s="9"/>
      <c r="B604" s="56"/>
      <c r="C604" s="13" t="str">
        <f>IFERROR(__xludf.DUMMYFUNCTION("IF(B604="""","""",LOWER(REGEXREPLACE(B604,""[^A-Za-z0-9]"",""""))&amp;""-""&amp;TEXT(COUNTIF($B$2:B604,B604),""000""))"),"")</f>
        <v/>
      </c>
      <c r="D604" s="57"/>
      <c r="E604" s="58"/>
      <c r="F604" s="59"/>
      <c r="G604" s="10"/>
      <c r="H604" s="55"/>
      <c r="I604" s="28"/>
      <c r="J604" s="28" t="s">
        <v>646</v>
      </c>
    </row>
    <row r="605" ht="22.5" customHeight="1">
      <c r="A605" s="9"/>
      <c r="B605" s="56"/>
      <c r="C605" s="13" t="str">
        <f>IFERROR(__xludf.DUMMYFUNCTION("IF(B605="""","""",LOWER(REGEXREPLACE(B605,""[^A-Za-z0-9]"",""""))&amp;""-""&amp;TEXT(COUNTIF($B$2:B605,B605),""000""))"),"")</f>
        <v/>
      </c>
      <c r="D605" s="57"/>
      <c r="E605" s="58"/>
      <c r="F605" s="59"/>
      <c r="G605" s="10"/>
      <c r="H605" s="55"/>
      <c r="I605" s="28"/>
      <c r="J605" s="28" t="s">
        <v>646</v>
      </c>
    </row>
    <row r="606" ht="22.5" customHeight="1">
      <c r="A606" s="9"/>
      <c r="B606" s="56"/>
      <c r="C606" s="13" t="str">
        <f>IFERROR(__xludf.DUMMYFUNCTION("IF(B606="""","""",LOWER(REGEXREPLACE(B606,""[^A-Za-z0-9]"",""""))&amp;""-""&amp;TEXT(COUNTIF($B$2:B606,B606),""000""))"),"")</f>
        <v/>
      </c>
      <c r="D606" s="57"/>
      <c r="E606" s="58"/>
      <c r="F606" s="59"/>
      <c r="G606" s="10"/>
      <c r="H606" s="55"/>
      <c r="I606" s="28"/>
      <c r="J606" s="28" t="s">
        <v>646</v>
      </c>
    </row>
    <row r="607" ht="22.5" customHeight="1">
      <c r="A607" s="9"/>
      <c r="B607" s="56"/>
      <c r="C607" s="13" t="str">
        <f>IFERROR(__xludf.DUMMYFUNCTION("IF(B607="""","""",LOWER(REGEXREPLACE(B607,""[^A-Za-z0-9]"",""""))&amp;""-""&amp;TEXT(COUNTIF($B$2:B607,B607),""000""))"),"")</f>
        <v/>
      </c>
      <c r="D607" s="57"/>
      <c r="E607" s="58"/>
      <c r="F607" s="59"/>
      <c r="G607" s="10"/>
      <c r="H607" s="55"/>
      <c r="I607" s="28"/>
      <c r="J607" s="28" t="s">
        <v>646</v>
      </c>
    </row>
    <row r="608" ht="22.5" customHeight="1">
      <c r="A608" s="9"/>
      <c r="B608" s="56"/>
      <c r="C608" s="13" t="str">
        <f>IFERROR(__xludf.DUMMYFUNCTION("IF(B608="""","""",LOWER(REGEXREPLACE(B608,""[^A-Za-z0-9]"",""""))&amp;""-""&amp;TEXT(COUNTIF($B$2:B608,B608),""000""))"),"")</f>
        <v/>
      </c>
      <c r="D608" s="57"/>
      <c r="E608" s="58"/>
      <c r="F608" s="59"/>
      <c r="G608" s="10"/>
      <c r="H608" s="55"/>
      <c r="I608" s="28"/>
      <c r="J608" s="28" t="s">
        <v>646</v>
      </c>
    </row>
    <row r="609" ht="22.5" customHeight="1">
      <c r="A609" s="9"/>
      <c r="B609" s="56"/>
      <c r="C609" s="13" t="str">
        <f>IFERROR(__xludf.DUMMYFUNCTION("IF(B609="""","""",LOWER(REGEXREPLACE(B609,""[^A-Za-z0-9]"",""""))&amp;""-""&amp;TEXT(COUNTIF($B$2:B609,B609),""000""))"),"")</f>
        <v/>
      </c>
      <c r="D609" s="57"/>
      <c r="E609" s="58"/>
      <c r="F609" s="59"/>
      <c r="G609" s="10"/>
      <c r="H609" s="55"/>
      <c r="I609" s="28"/>
      <c r="J609" s="28" t="s">
        <v>646</v>
      </c>
    </row>
    <row r="610" ht="22.5" customHeight="1">
      <c r="A610" s="9"/>
      <c r="B610" s="56"/>
      <c r="C610" s="13" t="str">
        <f>IFERROR(__xludf.DUMMYFUNCTION("IF(B610="""","""",LOWER(REGEXREPLACE(B610,""[^A-Za-z0-9]"",""""))&amp;""-""&amp;TEXT(COUNTIF($B$2:B610,B610),""000""))"),"")</f>
        <v/>
      </c>
      <c r="D610" s="57"/>
      <c r="E610" s="58"/>
      <c r="F610" s="59"/>
      <c r="G610" s="10"/>
      <c r="H610" s="55"/>
      <c r="I610" s="28"/>
      <c r="J610" s="28" t="s">
        <v>646</v>
      </c>
    </row>
    <row r="611" ht="22.5" customHeight="1">
      <c r="A611" s="9"/>
      <c r="B611" s="56"/>
      <c r="C611" s="13" t="str">
        <f>IFERROR(__xludf.DUMMYFUNCTION("IF(B611="""","""",LOWER(REGEXREPLACE(B611,""[^A-Za-z0-9]"",""""))&amp;""-""&amp;TEXT(COUNTIF($B$2:B611,B611),""000""))"),"")</f>
        <v/>
      </c>
      <c r="D611" s="57"/>
      <c r="E611" s="58"/>
      <c r="F611" s="59"/>
      <c r="G611" s="10"/>
      <c r="H611" s="55"/>
      <c r="I611" s="28"/>
      <c r="J611" s="28" t="s">
        <v>646</v>
      </c>
    </row>
    <row r="612" ht="22.5" customHeight="1">
      <c r="A612" s="9"/>
      <c r="B612" s="56"/>
      <c r="C612" s="13" t="str">
        <f>IFERROR(__xludf.DUMMYFUNCTION("IF(B612="""","""",LOWER(REGEXREPLACE(B612,""[^A-Za-z0-9]"",""""))&amp;""-""&amp;TEXT(COUNTIF($B$2:B612,B612),""000""))"),"")</f>
        <v/>
      </c>
      <c r="D612" s="57"/>
      <c r="E612" s="58"/>
      <c r="F612" s="59"/>
      <c r="G612" s="10"/>
      <c r="H612" s="55"/>
      <c r="I612" s="28"/>
      <c r="J612" s="28" t="s">
        <v>646</v>
      </c>
    </row>
    <row r="613" ht="22.5" customHeight="1">
      <c r="A613" s="9"/>
      <c r="B613" s="56"/>
      <c r="C613" s="13" t="str">
        <f>IFERROR(__xludf.DUMMYFUNCTION("IF(B613="""","""",LOWER(REGEXREPLACE(B613,""[^A-Za-z0-9]"",""""))&amp;""-""&amp;TEXT(COUNTIF($B$2:B613,B613),""000""))"),"")</f>
        <v/>
      </c>
      <c r="D613" s="57"/>
      <c r="E613" s="58"/>
      <c r="F613" s="59"/>
      <c r="G613" s="10"/>
      <c r="H613" s="55"/>
      <c r="I613" s="28"/>
      <c r="J613" s="28" t="s">
        <v>646</v>
      </c>
    </row>
    <row r="614" ht="22.5" customHeight="1">
      <c r="A614" s="9"/>
      <c r="B614" s="56"/>
      <c r="C614" s="13" t="str">
        <f>IFERROR(__xludf.DUMMYFUNCTION("IF(B614="""","""",LOWER(REGEXREPLACE(B614,""[^A-Za-z0-9]"",""""))&amp;""-""&amp;TEXT(COUNTIF($B$2:B614,B614),""000""))"),"")</f>
        <v/>
      </c>
      <c r="D614" s="57"/>
      <c r="E614" s="58"/>
      <c r="F614" s="59"/>
      <c r="G614" s="10"/>
      <c r="H614" s="55"/>
      <c r="I614" s="28"/>
      <c r="J614" s="28" t="s">
        <v>646</v>
      </c>
    </row>
    <row r="615" ht="22.5" customHeight="1">
      <c r="A615" s="9"/>
      <c r="B615" s="56"/>
      <c r="C615" s="13" t="str">
        <f>IFERROR(__xludf.DUMMYFUNCTION("IF(B615="""","""",LOWER(REGEXREPLACE(B615,""[^A-Za-z0-9]"",""""))&amp;""-""&amp;TEXT(COUNTIF($B$2:B615,B615),""000""))"),"")</f>
        <v/>
      </c>
      <c r="D615" s="57"/>
      <c r="E615" s="58"/>
      <c r="F615" s="59"/>
      <c r="G615" s="10"/>
      <c r="H615" s="55"/>
      <c r="I615" s="28"/>
      <c r="J615" s="28" t="s">
        <v>646</v>
      </c>
    </row>
    <row r="616" ht="22.5" customHeight="1">
      <c r="A616" s="9"/>
      <c r="B616" s="56"/>
      <c r="C616" s="13" t="str">
        <f>IFERROR(__xludf.DUMMYFUNCTION("IF(B616="""","""",LOWER(REGEXREPLACE(B616,""[^A-Za-z0-9]"",""""))&amp;""-""&amp;TEXT(COUNTIF($B$2:B616,B616),""000""))"),"")</f>
        <v/>
      </c>
      <c r="D616" s="57"/>
      <c r="E616" s="58"/>
      <c r="F616" s="59"/>
      <c r="G616" s="10"/>
      <c r="H616" s="55"/>
      <c r="I616" s="28"/>
      <c r="J616" s="28" t="s">
        <v>646</v>
      </c>
    </row>
    <row r="617" ht="22.5" customHeight="1">
      <c r="A617" s="9"/>
      <c r="B617" s="56"/>
      <c r="C617" s="13" t="str">
        <f>IFERROR(__xludf.DUMMYFUNCTION("IF(B617="""","""",LOWER(REGEXREPLACE(B617,""[^A-Za-z0-9]"",""""))&amp;""-""&amp;TEXT(COUNTIF($B$2:B617,B617),""000""))"),"")</f>
        <v/>
      </c>
      <c r="D617" s="57"/>
      <c r="E617" s="58"/>
      <c r="F617" s="59"/>
      <c r="G617" s="10"/>
      <c r="H617" s="55"/>
      <c r="I617" s="28"/>
      <c r="J617" s="28" t="s">
        <v>646</v>
      </c>
    </row>
    <row r="618" ht="22.5" customHeight="1">
      <c r="A618" s="9"/>
      <c r="B618" s="56"/>
      <c r="C618" s="13" t="str">
        <f>IFERROR(__xludf.DUMMYFUNCTION("IF(B618="""","""",LOWER(REGEXREPLACE(B618,""[^A-Za-z0-9]"",""""))&amp;""-""&amp;TEXT(COUNTIF($B$2:B618,B618),""000""))"),"")</f>
        <v/>
      </c>
      <c r="D618" s="57"/>
      <c r="E618" s="58"/>
      <c r="F618" s="59"/>
      <c r="G618" s="10"/>
      <c r="H618" s="55"/>
      <c r="I618" s="28"/>
      <c r="J618" s="28" t="s">
        <v>646</v>
      </c>
    </row>
    <row r="619" ht="22.5" customHeight="1">
      <c r="A619" s="9"/>
      <c r="B619" s="56"/>
      <c r="C619" s="13" t="str">
        <f>IFERROR(__xludf.DUMMYFUNCTION("IF(B619="""","""",LOWER(REGEXREPLACE(B619,""[^A-Za-z0-9]"",""""))&amp;""-""&amp;TEXT(COUNTIF($B$2:B619,B619),""000""))"),"")</f>
        <v/>
      </c>
      <c r="D619" s="57"/>
      <c r="E619" s="58"/>
      <c r="F619" s="59"/>
      <c r="G619" s="10"/>
      <c r="H619" s="55"/>
      <c r="I619" s="28"/>
      <c r="J619" s="28" t="s">
        <v>646</v>
      </c>
    </row>
    <row r="620" ht="22.5" customHeight="1">
      <c r="A620" s="9"/>
      <c r="B620" s="56"/>
      <c r="C620" s="13" t="str">
        <f>IFERROR(__xludf.DUMMYFUNCTION("IF(B620="""","""",LOWER(REGEXREPLACE(B620,""[^A-Za-z0-9]"",""""))&amp;""-""&amp;TEXT(COUNTIF($B$2:B620,B620),""000""))"),"")</f>
        <v/>
      </c>
      <c r="D620" s="57"/>
      <c r="E620" s="58"/>
      <c r="F620" s="59"/>
      <c r="G620" s="10"/>
      <c r="H620" s="55"/>
      <c r="I620" s="28"/>
      <c r="J620" s="28" t="s">
        <v>646</v>
      </c>
    </row>
    <row r="621" ht="22.5" customHeight="1">
      <c r="A621" s="9"/>
      <c r="B621" s="56"/>
      <c r="C621" s="13" t="str">
        <f>IFERROR(__xludf.DUMMYFUNCTION("IF(B621="""","""",LOWER(REGEXREPLACE(B621,""[^A-Za-z0-9]"",""""))&amp;""-""&amp;TEXT(COUNTIF($B$2:B621,B621),""000""))"),"")</f>
        <v/>
      </c>
      <c r="D621" s="57"/>
      <c r="E621" s="58"/>
      <c r="F621" s="59"/>
      <c r="G621" s="10"/>
      <c r="H621" s="55"/>
      <c r="I621" s="28"/>
      <c r="J621" s="28" t="s">
        <v>646</v>
      </c>
    </row>
    <row r="622" ht="22.5" customHeight="1">
      <c r="A622" s="9"/>
      <c r="B622" s="56"/>
      <c r="C622" s="13" t="str">
        <f>IFERROR(__xludf.DUMMYFUNCTION("IF(B622="""","""",LOWER(REGEXREPLACE(B622,""[^A-Za-z0-9]"",""""))&amp;""-""&amp;TEXT(COUNTIF($B$2:B622,B622),""000""))"),"")</f>
        <v/>
      </c>
      <c r="D622" s="57"/>
      <c r="E622" s="58"/>
      <c r="F622" s="59"/>
      <c r="G622" s="10"/>
      <c r="H622" s="55"/>
      <c r="I622" s="28"/>
      <c r="J622" s="28" t="s">
        <v>646</v>
      </c>
    </row>
    <row r="623" ht="22.5" customHeight="1">
      <c r="A623" s="9"/>
      <c r="B623" s="56"/>
      <c r="C623" s="13" t="str">
        <f>IFERROR(__xludf.DUMMYFUNCTION("IF(B623="""","""",LOWER(REGEXREPLACE(B623,""[^A-Za-z0-9]"",""""))&amp;""-""&amp;TEXT(COUNTIF($B$2:B623,B623),""000""))"),"")</f>
        <v/>
      </c>
      <c r="D623" s="57"/>
      <c r="E623" s="58"/>
      <c r="F623" s="59"/>
      <c r="G623" s="10"/>
      <c r="H623" s="55"/>
      <c r="I623" s="28"/>
      <c r="J623" s="28" t="s">
        <v>646</v>
      </c>
    </row>
    <row r="624" ht="22.5" customHeight="1">
      <c r="A624" s="9"/>
      <c r="B624" s="56"/>
      <c r="C624" s="13" t="str">
        <f>IFERROR(__xludf.DUMMYFUNCTION("IF(B624="""","""",LOWER(REGEXREPLACE(B624,""[^A-Za-z0-9]"",""""))&amp;""-""&amp;TEXT(COUNTIF($B$2:B624,B624),""000""))"),"")</f>
        <v/>
      </c>
      <c r="D624" s="57"/>
      <c r="E624" s="58"/>
      <c r="F624" s="59"/>
      <c r="G624" s="10"/>
      <c r="H624" s="55"/>
      <c r="I624" s="28"/>
      <c r="J624" s="28" t="s">
        <v>646</v>
      </c>
    </row>
    <row r="625" ht="22.5" customHeight="1">
      <c r="A625" s="9"/>
      <c r="B625" s="56"/>
      <c r="C625" s="13" t="str">
        <f>IFERROR(__xludf.DUMMYFUNCTION("IF(B625="""","""",LOWER(REGEXREPLACE(B625,""[^A-Za-z0-9]"",""""))&amp;""-""&amp;TEXT(COUNTIF($B$2:B625,B625),""000""))"),"")</f>
        <v/>
      </c>
      <c r="D625" s="57"/>
      <c r="E625" s="58"/>
      <c r="F625" s="59"/>
      <c r="G625" s="10"/>
      <c r="H625" s="55"/>
      <c r="I625" s="28"/>
      <c r="J625" s="28" t="s">
        <v>646</v>
      </c>
    </row>
    <row r="626" ht="22.5" customHeight="1">
      <c r="A626" s="9"/>
      <c r="B626" s="56"/>
      <c r="C626" s="13" t="str">
        <f>IFERROR(__xludf.DUMMYFUNCTION("IF(B626="""","""",LOWER(REGEXREPLACE(B626,""[^A-Za-z0-9]"",""""))&amp;""-""&amp;TEXT(COUNTIF($B$2:B626,B626),""000""))"),"")</f>
        <v/>
      </c>
      <c r="D626" s="57"/>
      <c r="E626" s="58"/>
      <c r="F626" s="59"/>
      <c r="G626" s="10"/>
      <c r="H626" s="55"/>
      <c r="I626" s="28"/>
      <c r="J626" s="28" t="s">
        <v>646</v>
      </c>
    </row>
    <row r="627" ht="22.5" customHeight="1">
      <c r="A627" s="9"/>
      <c r="B627" s="56"/>
      <c r="C627" s="13" t="str">
        <f>IFERROR(__xludf.DUMMYFUNCTION("IF(B627="""","""",LOWER(REGEXREPLACE(B627,""[^A-Za-z0-9]"",""""))&amp;""-""&amp;TEXT(COUNTIF($B$2:B627,B627),""000""))"),"")</f>
        <v/>
      </c>
      <c r="D627" s="57"/>
      <c r="E627" s="58"/>
      <c r="F627" s="59"/>
      <c r="G627" s="10"/>
      <c r="H627" s="55"/>
      <c r="I627" s="28"/>
      <c r="J627" s="28" t="s">
        <v>646</v>
      </c>
    </row>
    <row r="628" ht="22.5" customHeight="1">
      <c r="A628" s="9"/>
      <c r="B628" s="56"/>
      <c r="C628" s="13" t="str">
        <f>IFERROR(__xludf.DUMMYFUNCTION("IF(B628="""","""",LOWER(REGEXREPLACE(B628,""[^A-Za-z0-9]"",""""))&amp;""-""&amp;TEXT(COUNTIF($B$2:B628,B628),""000""))"),"")</f>
        <v/>
      </c>
      <c r="D628" s="57"/>
      <c r="E628" s="58"/>
      <c r="F628" s="59"/>
      <c r="G628" s="10"/>
      <c r="H628" s="55"/>
      <c r="I628" s="28"/>
      <c r="J628" s="28" t="s">
        <v>646</v>
      </c>
    </row>
    <row r="629" ht="22.5" customHeight="1">
      <c r="A629" s="9"/>
      <c r="B629" s="56"/>
      <c r="C629" s="13" t="str">
        <f>IFERROR(__xludf.DUMMYFUNCTION("IF(B629="""","""",LOWER(REGEXREPLACE(B629,""[^A-Za-z0-9]"",""""))&amp;""-""&amp;TEXT(COUNTIF($B$2:B629,B629),""000""))"),"")</f>
        <v/>
      </c>
      <c r="D629" s="57"/>
      <c r="E629" s="58"/>
      <c r="F629" s="59"/>
      <c r="G629" s="10"/>
      <c r="H629" s="55"/>
      <c r="I629" s="28"/>
      <c r="J629" s="28" t="s">
        <v>646</v>
      </c>
    </row>
    <row r="630" ht="22.5" customHeight="1">
      <c r="A630" s="9"/>
      <c r="B630" s="56"/>
      <c r="C630" s="13" t="str">
        <f>IFERROR(__xludf.DUMMYFUNCTION("IF(B630="""","""",LOWER(REGEXREPLACE(B630,""[^A-Za-z0-9]"",""""))&amp;""-""&amp;TEXT(COUNTIF($B$2:B630,B630),""000""))"),"")</f>
        <v/>
      </c>
      <c r="D630" s="57"/>
      <c r="E630" s="58"/>
      <c r="F630" s="59"/>
      <c r="G630" s="10"/>
      <c r="H630" s="55"/>
      <c r="I630" s="28"/>
      <c r="J630" s="28" t="s">
        <v>646</v>
      </c>
    </row>
    <row r="631" ht="22.5" customHeight="1">
      <c r="A631" s="9"/>
      <c r="B631" s="56"/>
      <c r="C631" s="13" t="str">
        <f>IFERROR(__xludf.DUMMYFUNCTION("IF(B631="""","""",LOWER(REGEXREPLACE(B631,""[^A-Za-z0-9]"",""""))&amp;""-""&amp;TEXT(COUNTIF($B$2:B631,B631),""000""))"),"")</f>
        <v/>
      </c>
      <c r="D631" s="57"/>
      <c r="E631" s="58"/>
      <c r="F631" s="59"/>
      <c r="G631" s="10"/>
      <c r="H631" s="55"/>
      <c r="I631" s="28"/>
      <c r="J631" s="28" t="s">
        <v>646</v>
      </c>
    </row>
    <row r="632" ht="22.5" customHeight="1">
      <c r="A632" s="9"/>
      <c r="B632" s="56"/>
      <c r="C632" s="13" t="str">
        <f>IFERROR(__xludf.DUMMYFUNCTION("IF(B632="""","""",LOWER(REGEXREPLACE(B632,""[^A-Za-z0-9]"",""""))&amp;""-""&amp;TEXT(COUNTIF($B$2:B632,B632),""000""))"),"")</f>
        <v/>
      </c>
      <c r="D632" s="57"/>
      <c r="E632" s="58"/>
      <c r="F632" s="59"/>
      <c r="G632" s="10"/>
      <c r="H632" s="55"/>
      <c r="I632" s="28"/>
      <c r="J632" s="28" t="s">
        <v>646</v>
      </c>
    </row>
    <row r="633" ht="22.5" customHeight="1">
      <c r="A633" s="9"/>
      <c r="B633" s="56"/>
      <c r="C633" s="13" t="str">
        <f>IFERROR(__xludf.DUMMYFUNCTION("IF(B633="""","""",LOWER(REGEXREPLACE(B633,""[^A-Za-z0-9]"",""""))&amp;""-""&amp;TEXT(COUNTIF($B$2:B633,B633),""000""))"),"")</f>
        <v/>
      </c>
      <c r="D633" s="57"/>
      <c r="E633" s="58"/>
      <c r="F633" s="59"/>
      <c r="G633" s="10"/>
      <c r="H633" s="55"/>
      <c r="I633" s="28"/>
      <c r="J633" s="28" t="s">
        <v>646</v>
      </c>
    </row>
    <row r="634" ht="22.5" customHeight="1">
      <c r="A634" s="9"/>
      <c r="B634" s="56"/>
      <c r="C634" s="13" t="str">
        <f>IFERROR(__xludf.DUMMYFUNCTION("IF(B634="""","""",LOWER(REGEXREPLACE(B634,""[^A-Za-z0-9]"",""""))&amp;""-""&amp;TEXT(COUNTIF($B$2:B634,B634),""000""))"),"")</f>
        <v/>
      </c>
      <c r="D634" s="57"/>
      <c r="E634" s="58"/>
      <c r="F634" s="59"/>
      <c r="G634" s="10"/>
      <c r="H634" s="55"/>
      <c r="I634" s="28"/>
      <c r="J634" s="28" t="s">
        <v>646</v>
      </c>
    </row>
    <row r="635" ht="22.5" customHeight="1">
      <c r="A635" s="9"/>
      <c r="B635" s="56"/>
      <c r="C635" s="13" t="str">
        <f>IFERROR(__xludf.DUMMYFUNCTION("IF(B635="""","""",LOWER(REGEXREPLACE(B635,""[^A-Za-z0-9]"",""""))&amp;""-""&amp;TEXT(COUNTIF($B$2:B635,B635),""000""))"),"")</f>
        <v/>
      </c>
      <c r="D635" s="57"/>
      <c r="E635" s="58"/>
      <c r="F635" s="59"/>
      <c r="G635" s="10"/>
      <c r="H635" s="55"/>
      <c r="I635" s="28"/>
      <c r="J635" s="28" t="s">
        <v>646</v>
      </c>
    </row>
    <row r="636" ht="22.5" customHeight="1">
      <c r="A636" s="9"/>
      <c r="B636" s="56"/>
      <c r="C636" s="13" t="str">
        <f>IFERROR(__xludf.DUMMYFUNCTION("IF(B636="""","""",LOWER(REGEXREPLACE(B636,""[^A-Za-z0-9]"",""""))&amp;""-""&amp;TEXT(COUNTIF($B$2:B636,B636),""000""))"),"")</f>
        <v/>
      </c>
      <c r="D636" s="57"/>
      <c r="E636" s="58"/>
      <c r="F636" s="59"/>
      <c r="G636" s="10"/>
      <c r="H636" s="55"/>
      <c r="I636" s="28"/>
      <c r="J636" s="28" t="s">
        <v>646</v>
      </c>
    </row>
    <row r="637" ht="22.5" customHeight="1">
      <c r="A637" s="9"/>
      <c r="B637" s="56"/>
      <c r="C637" s="13" t="str">
        <f>IFERROR(__xludf.DUMMYFUNCTION("IF(B637="""","""",LOWER(REGEXREPLACE(B637,""[^A-Za-z0-9]"",""""))&amp;""-""&amp;TEXT(COUNTIF($B$2:B637,B637),""000""))"),"")</f>
        <v/>
      </c>
      <c r="D637" s="57"/>
      <c r="E637" s="58"/>
      <c r="F637" s="59"/>
      <c r="G637" s="10"/>
      <c r="H637" s="55"/>
      <c r="I637" s="28"/>
      <c r="J637" s="28" t="s">
        <v>646</v>
      </c>
    </row>
    <row r="638" ht="22.5" customHeight="1">
      <c r="A638" s="9"/>
      <c r="B638" s="56"/>
      <c r="C638" s="13" t="str">
        <f>IFERROR(__xludf.DUMMYFUNCTION("IF(B638="""","""",LOWER(REGEXREPLACE(B638,""[^A-Za-z0-9]"",""""))&amp;""-""&amp;TEXT(COUNTIF($B$2:B638,B638),""000""))"),"")</f>
        <v/>
      </c>
      <c r="D638" s="57"/>
      <c r="E638" s="58"/>
      <c r="F638" s="59"/>
      <c r="G638" s="10"/>
      <c r="H638" s="55"/>
      <c r="I638" s="28"/>
      <c r="J638" s="28" t="s">
        <v>646</v>
      </c>
    </row>
    <row r="639" ht="22.5" customHeight="1">
      <c r="A639" s="9"/>
      <c r="B639" s="56"/>
      <c r="C639" s="13" t="str">
        <f>IFERROR(__xludf.DUMMYFUNCTION("IF(B639="""","""",LOWER(REGEXREPLACE(B639,""[^A-Za-z0-9]"",""""))&amp;""-""&amp;TEXT(COUNTIF($B$2:B639,B639),""000""))"),"")</f>
        <v/>
      </c>
      <c r="D639" s="57"/>
      <c r="E639" s="58"/>
      <c r="F639" s="59"/>
      <c r="G639" s="10"/>
      <c r="H639" s="55"/>
      <c r="I639" s="28"/>
      <c r="J639" s="28" t="s">
        <v>646</v>
      </c>
    </row>
    <row r="640" ht="22.5" customHeight="1">
      <c r="A640" s="9"/>
      <c r="B640" s="56"/>
      <c r="C640" s="13" t="str">
        <f>IFERROR(__xludf.DUMMYFUNCTION("IF(B640="""","""",LOWER(REGEXREPLACE(B640,""[^A-Za-z0-9]"",""""))&amp;""-""&amp;TEXT(COUNTIF($B$2:B640,B640),""000""))"),"")</f>
        <v/>
      </c>
      <c r="D640" s="57"/>
      <c r="E640" s="58"/>
      <c r="F640" s="59"/>
      <c r="G640" s="10"/>
      <c r="H640" s="55"/>
      <c r="I640" s="28"/>
      <c r="J640" s="28" t="s">
        <v>646</v>
      </c>
    </row>
    <row r="641" ht="22.5" customHeight="1">
      <c r="A641" s="9"/>
      <c r="B641" s="56"/>
      <c r="C641" s="13" t="str">
        <f>IFERROR(__xludf.DUMMYFUNCTION("IF(B641="""","""",LOWER(REGEXREPLACE(B641,""[^A-Za-z0-9]"",""""))&amp;""-""&amp;TEXT(COUNTIF($B$2:B641,B641),""000""))"),"")</f>
        <v/>
      </c>
      <c r="D641" s="57"/>
      <c r="E641" s="58"/>
      <c r="F641" s="59"/>
      <c r="G641" s="10"/>
      <c r="H641" s="55"/>
      <c r="I641" s="28"/>
      <c r="J641" s="28" t="s">
        <v>646</v>
      </c>
    </row>
    <row r="642" ht="22.5" customHeight="1">
      <c r="A642" s="9"/>
      <c r="B642" s="56"/>
      <c r="C642" s="13" t="str">
        <f>IFERROR(__xludf.DUMMYFUNCTION("IF(B642="""","""",LOWER(REGEXREPLACE(B642,""[^A-Za-z0-9]"",""""))&amp;""-""&amp;TEXT(COUNTIF($B$2:B642,B642),""000""))"),"")</f>
        <v/>
      </c>
      <c r="D642" s="57"/>
      <c r="E642" s="58"/>
      <c r="F642" s="59"/>
      <c r="G642" s="10"/>
      <c r="H642" s="55"/>
      <c r="I642" s="28"/>
      <c r="J642" s="28" t="s">
        <v>646</v>
      </c>
    </row>
    <row r="643" ht="22.5" customHeight="1">
      <c r="A643" s="9"/>
      <c r="B643" s="56"/>
      <c r="C643" s="13" t="str">
        <f>IFERROR(__xludf.DUMMYFUNCTION("IF(B643="""","""",LOWER(REGEXREPLACE(B643,""[^A-Za-z0-9]"",""""))&amp;""-""&amp;TEXT(COUNTIF($B$2:B643,B643),""000""))"),"")</f>
        <v/>
      </c>
      <c r="D643" s="57"/>
      <c r="E643" s="58"/>
      <c r="F643" s="59"/>
      <c r="G643" s="10"/>
      <c r="H643" s="55"/>
      <c r="I643" s="28"/>
      <c r="J643" s="28" t="s">
        <v>646</v>
      </c>
    </row>
    <row r="644" ht="22.5" customHeight="1">
      <c r="A644" s="9"/>
      <c r="B644" s="56"/>
      <c r="C644" s="13" t="str">
        <f>IFERROR(__xludf.DUMMYFUNCTION("IF(B644="""","""",LOWER(REGEXREPLACE(B644,""[^A-Za-z0-9]"",""""))&amp;""-""&amp;TEXT(COUNTIF($B$2:B644,B644),""000""))"),"")</f>
        <v/>
      </c>
      <c r="D644" s="57"/>
      <c r="E644" s="58"/>
      <c r="F644" s="59"/>
      <c r="G644" s="10"/>
      <c r="H644" s="55"/>
      <c r="I644" s="28"/>
      <c r="J644" s="28" t="s">
        <v>646</v>
      </c>
    </row>
    <row r="645" ht="22.5" customHeight="1">
      <c r="A645" s="9"/>
      <c r="B645" s="56"/>
      <c r="C645" s="13" t="str">
        <f>IFERROR(__xludf.DUMMYFUNCTION("IF(B645="""","""",LOWER(REGEXREPLACE(B645,""[^A-Za-z0-9]"",""""))&amp;""-""&amp;TEXT(COUNTIF($B$2:B645,B645),""000""))"),"")</f>
        <v/>
      </c>
      <c r="D645" s="57"/>
      <c r="E645" s="58"/>
      <c r="F645" s="59"/>
      <c r="G645" s="10"/>
      <c r="H645" s="55"/>
      <c r="I645" s="28"/>
      <c r="J645" s="28" t="s">
        <v>646</v>
      </c>
    </row>
    <row r="646" ht="22.5" customHeight="1">
      <c r="A646" s="9"/>
      <c r="B646" s="56"/>
      <c r="C646" s="13" t="str">
        <f>IFERROR(__xludf.DUMMYFUNCTION("IF(B646="""","""",LOWER(REGEXREPLACE(B646,""[^A-Za-z0-9]"",""""))&amp;""-""&amp;TEXT(COUNTIF($B$2:B646,B646),""000""))"),"")</f>
        <v/>
      </c>
      <c r="D646" s="57"/>
      <c r="E646" s="58"/>
      <c r="F646" s="59"/>
      <c r="G646" s="10"/>
      <c r="H646" s="55"/>
      <c r="I646" s="28"/>
      <c r="J646" s="28" t="s">
        <v>646</v>
      </c>
    </row>
    <row r="647" ht="22.5" customHeight="1">
      <c r="A647" s="9"/>
      <c r="B647" s="56"/>
      <c r="C647" s="13" t="str">
        <f>IFERROR(__xludf.DUMMYFUNCTION("IF(B647="""","""",LOWER(REGEXREPLACE(B647,""[^A-Za-z0-9]"",""""))&amp;""-""&amp;TEXT(COUNTIF($B$2:B647,B647),""000""))"),"")</f>
        <v/>
      </c>
      <c r="D647" s="57"/>
      <c r="E647" s="58"/>
      <c r="F647" s="59"/>
      <c r="G647" s="10"/>
      <c r="H647" s="55"/>
      <c r="I647" s="28"/>
      <c r="J647" s="28" t="s">
        <v>646</v>
      </c>
    </row>
    <row r="648" ht="22.5" customHeight="1">
      <c r="A648" s="9"/>
      <c r="B648" s="56"/>
      <c r="C648" s="13" t="str">
        <f>IFERROR(__xludf.DUMMYFUNCTION("IF(B648="""","""",LOWER(REGEXREPLACE(B648,""[^A-Za-z0-9]"",""""))&amp;""-""&amp;TEXT(COUNTIF($B$2:B648,B648),""000""))"),"")</f>
        <v/>
      </c>
      <c r="D648" s="57"/>
      <c r="E648" s="58"/>
      <c r="F648" s="59"/>
      <c r="G648" s="10"/>
      <c r="H648" s="55"/>
      <c r="I648" s="28"/>
      <c r="J648" s="28" t="s">
        <v>646</v>
      </c>
    </row>
    <row r="649" ht="22.5" customHeight="1">
      <c r="A649" s="9"/>
      <c r="B649" s="56"/>
      <c r="C649" s="13" t="str">
        <f>IFERROR(__xludf.DUMMYFUNCTION("IF(B649="""","""",LOWER(REGEXREPLACE(B649,""[^A-Za-z0-9]"",""""))&amp;""-""&amp;TEXT(COUNTIF($B$2:B649,B649),""000""))"),"")</f>
        <v/>
      </c>
      <c r="D649" s="57"/>
      <c r="E649" s="58"/>
      <c r="F649" s="59"/>
      <c r="G649" s="10"/>
      <c r="H649" s="55"/>
      <c r="I649" s="28"/>
      <c r="J649" s="28" t="s">
        <v>646</v>
      </c>
    </row>
    <row r="650" ht="22.5" customHeight="1">
      <c r="A650" s="9"/>
      <c r="B650" s="56"/>
      <c r="C650" s="13" t="str">
        <f>IFERROR(__xludf.DUMMYFUNCTION("IF(B650="""","""",LOWER(REGEXREPLACE(B650,""[^A-Za-z0-9]"",""""))&amp;""-""&amp;TEXT(COUNTIF($B$2:B650,B650),""000""))"),"")</f>
        <v/>
      </c>
      <c r="D650" s="57"/>
      <c r="E650" s="58"/>
      <c r="F650" s="59"/>
      <c r="G650" s="10"/>
      <c r="H650" s="55"/>
      <c r="I650" s="28"/>
      <c r="J650" s="28" t="s">
        <v>646</v>
      </c>
    </row>
    <row r="651" ht="22.5" customHeight="1">
      <c r="A651" s="9"/>
      <c r="B651" s="56"/>
      <c r="C651" s="13" t="str">
        <f>IFERROR(__xludf.DUMMYFUNCTION("IF(B651="""","""",LOWER(REGEXREPLACE(B651,""[^A-Za-z0-9]"",""""))&amp;""-""&amp;TEXT(COUNTIF($B$2:B651,B651),""000""))"),"")</f>
        <v/>
      </c>
      <c r="D651" s="57"/>
      <c r="E651" s="58"/>
      <c r="F651" s="59"/>
      <c r="G651" s="10"/>
      <c r="H651" s="55"/>
      <c r="I651" s="28"/>
      <c r="J651" s="28" t="s">
        <v>646</v>
      </c>
    </row>
    <row r="652" ht="22.5" customHeight="1">
      <c r="A652" s="9"/>
      <c r="B652" s="56"/>
      <c r="C652" s="13" t="str">
        <f>IFERROR(__xludf.DUMMYFUNCTION("IF(B652="""","""",LOWER(REGEXREPLACE(B652,""[^A-Za-z0-9]"",""""))&amp;""-""&amp;TEXT(COUNTIF($B$2:B652,B652),""000""))"),"")</f>
        <v/>
      </c>
      <c r="D652" s="57"/>
      <c r="E652" s="58"/>
      <c r="F652" s="59"/>
      <c r="G652" s="10"/>
      <c r="H652" s="55"/>
      <c r="I652" s="28"/>
      <c r="J652" s="28" t="s">
        <v>646</v>
      </c>
    </row>
    <row r="653" ht="22.5" customHeight="1">
      <c r="A653" s="9"/>
      <c r="B653" s="56"/>
      <c r="C653" s="13" t="str">
        <f>IFERROR(__xludf.DUMMYFUNCTION("IF(B653="""","""",LOWER(REGEXREPLACE(B653,""[^A-Za-z0-9]"",""""))&amp;""-""&amp;TEXT(COUNTIF($B$2:B653,B653),""000""))"),"")</f>
        <v/>
      </c>
      <c r="D653" s="57"/>
      <c r="E653" s="58"/>
      <c r="F653" s="59"/>
      <c r="G653" s="10"/>
      <c r="H653" s="55"/>
      <c r="I653" s="28"/>
      <c r="J653" s="28" t="s">
        <v>646</v>
      </c>
    </row>
    <row r="654" ht="22.5" customHeight="1">
      <c r="A654" s="9"/>
      <c r="B654" s="56"/>
      <c r="C654" s="13" t="str">
        <f>IFERROR(__xludf.DUMMYFUNCTION("IF(B654="""","""",LOWER(REGEXREPLACE(B654,""[^A-Za-z0-9]"",""""))&amp;""-""&amp;TEXT(COUNTIF($B$2:B654,B654),""000""))"),"")</f>
        <v/>
      </c>
      <c r="D654" s="57"/>
      <c r="E654" s="58"/>
      <c r="F654" s="59"/>
      <c r="G654" s="10"/>
      <c r="H654" s="55"/>
      <c r="I654" s="28"/>
      <c r="J654" s="28" t="s">
        <v>646</v>
      </c>
    </row>
    <row r="655" ht="22.5" customHeight="1">
      <c r="A655" s="9"/>
      <c r="B655" s="56"/>
      <c r="C655" s="13" t="str">
        <f>IFERROR(__xludf.DUMMYFUNCTION("IF(B655="""","""",LOWER(REGEXREPLACE(B655,""[^A-Za-z0-9]"",""""))&amp;""-""&amp;TEXT(COUNTIF($B$2:B655,B655),""000""))"),"")</f>
        <v/>
      </c>
      <c r="D655" s="57"/>
      <c r="E655" s="58"/>
      <c r="F655" s="59"/>
      <c r="G655" s="10"/>
      <c r="H655" s="55"/>
      <c r="I655" s="28"/>
      <c r="J655" s="28" t="s">
        <v>646</v>
      </c>
    </row>
    <row r="656" ht="22.5" customHeight="1">
      <c r="A656" s="9"/>
      <c r="B656" s="56"/>
      <c r="C656" s="13" t="str">
        <f>IFERROR(__xludf.DUMMYFUNCTION("IF(B656="""","""",LOWER(REGEXREPLACE(B656,""[^A-Za-z0-9]"",""""))&amp;""-""&amp;TEXT(COUNTIF($B$2:B656,B656),""000""))"),"")</f>
        <v/>
      </c>
      <c r="D656" s="57"/>
      <c r="E656" s="58"/>
      <c r="F656" s="59"/>
      <c r="G656" s="10"/>
      <c r="H656" s="55"/>
      <c r="I656" s="28"/>
      <c r="J656" s="28" t="s">
        <v>646</v>
      </c>
    </row>
    <row r="657" ht="22.5" customHeight="1">
      <c r="A657" s="9"/>
      <c r="B657" s="56"/>
      <c r="C657" s="13" t="str">
        <f>IFERROR(__xludf.DUMMYFUNCTION("IF(B657="""","""",LOWER(REGEXREPLACE(B657,""[^A-Za-z0-9]"",""""))&amp;""-""&amp;TEXT(COUNTIF($B$2:B657,B657),""000""))"),"")</f>
        <v/>
      </c>
      <c r="D657" s="57"/>
      <c r="E657" s="58"/>
      <c r="F657" s="59"/>
      <c r="G657" s="10"/>
      <c r="H657" s="55"/>
      <c r="I657" s="28"/>
      <c r="J657" s="28" t="s">
        <v>646</v>
      </c>
    </row>
    <row r="658" ht="22.5" customHeight="1">
      <c r="A658" s="9"/>
      <c r="B658" s="56"/>
      <c r="C658" s="13" t="str">
        <f>IFERROR(__xludf.DUMMYFUNCTION("IF(B658="""","""",LOWER(REGEXREPLACE(B658,""[^A-Za-z0-9]"",""""))&amp;""-""&amp;TEXT(COUNTIF($B$2:B658,B658),""000""))"),"")</f>
        <v/>
      </c>
      <c r="D658" s="57"/>
      <c r="E658" s="58"/>
      <c r="F658" s="59"/>
      <c r="G658" s="10"/>
      <c r="H658" s="55"/>
      <c r="I658" s="28"/>
      <c r="J658" s="28" t="s">
        <v>646</v>
      </c>
    </row>
    <row r="659" ht="22.5" customHeight="1">
      <c r="A659" s="9"/>
      <c r="B659" s="56"/>
      <c r="C659" s="13" t="str">
        <f>IFERROR(__xludf.DUMMYFUNCTION("IF(B659="""","""",LOWER(REGEXREPLACE(B659,""[^A-Za-z0-9]"",""""))&amp;""-""&amp;TEXT(COUNTIF($B$2:B659,B659),""000""))"),"")</f>
        <v/>
      </c>
      <c r="D659" s="57"/>
      <c r="E659" s="58"/>
      <c r="F659" s="59"/>
      <c r="G659" s="10"/>
      <c r="H659" s="55"/>
      <c r="I659" s="28"/>
      <c r="J659" s="28" t="s">
        <v>646</v>
      </c>
    </row>
    <row r="660" ht="22.5" customHeight="1">
      <c r="A660" s="9"/>
      <c r="B660" s="56"/>
      <c r="C660" s="13" t="str">
        <f>IFERROR(__xludf.DUMMYFUNCTION("IF(B660="""","""",LOWER(REGEXREPLACE(B660,""[^A-Za-z0-9]"",""""))&amp;""-""&amp;TEXT(COUNTIF($B$2:B660,B660),""000""))"),"")</f>
        <v/>
      </c>
      <c r="D660" s="57"/>
      <c r="E660" s="58"/>
      <c r="F660" s="59"/>
      <c r="G660" s="10"/>
      <c r="H660" s="55"/>
      <c r="I660" s="28"/>
      <c r="J660" s="28" t="s">
        <v>646</v>
      </c>
    </row>
    <row r="661" ht="22.5" customHeight="1">
      <c r="A661" s="9"/>
      <c r="B661" s="56"/>
      <c r="C661" s="13" t="str">
        <f>IFERROR(__xludf.DUMMYFUNCTION("IF(B661="""","""",LOWER(REGEXREPLACE(B661,""[^A-Za-z0-9]"",""""))&amp;""-""&amp;TEXT(COUNTIF($B$2:B661,B661),""000""))"),"")</f>
        <v/>
      </c>
      <c r="D661" s="57"/>
      <c r="E661" s="58"/>
      <c r="F661" s="59"/>
      <c r="G661" s="10"/>
      <c r="H661" s="55"/>
      <c r="I661" s="28"/>
      <c r="J661" s="28" t="s">
        <v>646</v>
      </c>
    </row>
    <row r="662" ht="22.5" customHeight="1">
      <c r="A662" s="9"/>
      <c r="B662" s="56"/>
      <c r="C662" s="13" t="str">
        <f>IFERROR(__xludf.DUMMYFUNCTION("IF(B662="""","""",LOWER(REGEXREPLACE(B662,""[^A-Za-z0-9]"",""""))&amp;""-""&amp;TEXT(COUNTIF($B$2:B662,B662),""000""))"),"")</f>
        <v/>
      </c>
      <c r="D662" s="57"/>
      <c r="E662" s="58"/>
      <c r="F662" s="59"/>
      <c r="G662" s="10"/>
      <c r="H662" s="55"/>
      <c r="I662" s="28"/>
      <c r="J662" s="28" t="s">
        <v>646</v>
      </c>
    </row>
    <row r="663" ht="22.5" customHeight="1">
      <c r="A663" s="9"/>
      <c r="B663" s="56"/>
      <c r="C663" s="13" t="str">
        <f>IFERROR(__xludf.DUMMYFUNCTION("IF(B663="""","""",LOWER(REGEXREPLACE(B663,""[^A-Za-z0-9]"",""""))&amp;""-""&amp;TEXT(COUNTIF($B$2:B663,B663),""000""))"),"")</f>
        <v/>
      </c>
      <c r="D663" s="57"/>
      <c r="E663" s="58"/>
      <c r="F663" s="59"/>
      <c r="G663" s="10"/>
      <c r="H663" s="55"/>
      <c r="I663" s="28"/>
      <c r="J663" s="28" t="s">
        <v>646</v>
      </c>
    </row>
    <row r="664" ht="22.5" customHeight="1">
      <c r="A664" s="9"/>
      <c r="B664" s="56"/>
      <c r="C664" s="13" t="str">
        <f>IFERROR(__xludf.DUMMYFUNCTION("IF(B664="""","""",LOWER(REGEXREPLACE(B664,""[^A-Za-z0-9]"",""""))&amp;""-""&amp;TEXT(COUNTIF($B$2:B664,B664),""000""))"),"")</f>
        <v/>
      </c>
      <c r="D664" s="57"/>
      <c r="E664" s="58"/>
      <c r="F664" s="59"/>
      <c r="G664" s="10"/>
      <c r="H664" s="55"/>
      <c r="I664" s="28"/>
      <c r="J664" s="28" t="s">
        <v>646</v>
      </c>
    </row>
    <row r="665" ht="22.5" customHeight="1">
      <c r="A665" s="9"/>
      <c r="B665" s="56"/>
      <c r="C665" s="13" t="str">
        <f>IFERROR(__xludf.DUMMYFUNCTION("IF(B665="""","""",LOWER(REGEXREPLACE(B665,""[^A-Za-z0-9]"",""""))&amp;""-""&amp;TEXT(COUNTIF($B$2:B665,B665),""000""))"),"")</f>
        <v/>
      </c>
      <c r="D665" s="57"/>
      <c r="E665" s="58"/>
      <c r="F665" s="59"/>
      <c r="G665" s="10"/>
      <c r="H665" s="55"/>
      <c r="I665" s="28"/>
      <c r="J665" s="28" t="s">
        <v>646</v>
      </c>
    </row>
    <row r="666" ht="22.5" customHeight="1">
      <c r="A666" s="9"/>
      <c r="B666" s="56"/>
      <c r="C666" s="13" t="str">
        <f>IFERROR(__xludf.DUMMYFUNCTION("IF(B666="""","""",LOWER(REGEXREPLACE(B666,""[^A-Za-z0-9]"",""""))&amp;""-""&amp;TEXT(COUNTIF($B$2:B666,B666),""000""))"),"")</f>
        <v/>
      </c>
      <c r="D666" s="57"/>
      <c r="E666" s="58"/>
      <c r="F666" s="59"/>
      <c r="G666" s="10"/>
      <c r="H666" s="55"/>
      <c r="I666" s="28"/>
      <c r="J666" s="28" t="s">
        <v>646</v>
      </c>
    </row>
    <row r="667" ht="22.5" customHeight="1">
      <c r="A667" s="9"/>
      <c r="B667" s="56"/>
      <c r="C667" s="13" t="str">
        <f>IFERROR(__xludf.DUMMYFUNCTION("IF(B667="""","""",LOWER(REGEXREPLACE(B667,""[^A-Za-z0-9]"",""""))&amp;""-""&amp;TEXT(COUNTIF($B$2:B667,B667),""000""))"),"")</f>
        <v/>
      </c>
      <c r="D667" s="57"/>
      <c r="E667" s="58"/>
      <c r="F667" s="59"/>
      <c r="G667" s="10"/>
      <c r="H667" s="55"/>
      <c r="I667" s="28"/>
      <c r="J667" s="28" t="s">
        <v>646</v>
      </c>
    </row>
    <row r="668" ht="22.5" customHeight="1">
      <c r="A668" s="9"/>
      <c r="B668" s="56"/>
      <c r="C668" s="13" t="str">
        <f>IFERROR(__xludf.DUMMYFUNCTION("IF(B668="""","""",LOWER(REGEXREPLACE(B668,""[^A-Za-z0-9]"",""""))&amp;""-""&amp;TEXT(COUNTIF($B$2:B668,B668),""000""))"),"")</f>
        <v/>
      </c>
      <c r="D668" s="57"/>
      <c r="E668" s="58"/>
      <c r="F668" s="59"/>
      <c r="G668" s="10"/>
      <c r="H668" s="55"/>
      <c r="I668" s="28"/>
      <c r="J668" s="28" t="s">
        <v>646</v>
      </c>
    </row>
    <row r="669" ht="22.5" customHeight="1">
      <c r="A669" s="9"/>
      <c r="B669" s="56"/>
      <c r="C669" s="13" t="str">
        <f>IFERROR(__xludf.DUMMYFUNCTION("IF(B669="""","""",LOWER(REGEXREPLACE(B669,""[^A-Za-z0-9]"",""""))&amp;""-""&amp;TEXT(COUNTIF($B$2:B669,B669),""000""))"),"")</f>
        <v/>
      </c>
      <c r="D669" s="57"/>
      <c r="E669" s="58"/>
      <c r="F669" s="59"/>
      <c r="G669" s="10"/>
      <c r="H669" s="55"/>
      <c r="I669" s="28"/>
      <c r="J669" s="28" t="s">
        <v>646</v>
      </c>
    </row>
    <row r="670" ht="22.5" customHeight="1">
      <c r="A670" s="9"/>
      <c r="B670" s="56"/>
      <c r="C670" s="13" t="str">
        <f>IFERROR(__xludf.DUMMYFUNCTION("IF(B670="""","""",LOWER(REGEXREPLACE(B670,""[^A-Za-z0-9]"",""""))&amp;""-""&amp;TEXT(COUNTIF($B$2:B670,B670),""000""))"),"")</f>
        <v/>
      </c>
      <c r="D670" s="57"/>
      <c r="E670" s="58"/>
      <c r="F670" s="59"/>
      <c r="G670" s="10"/>
      <c r="H670" s="55"/>
      <c r="I670" s="28"/>
      <c r="J670" s="28" t="s">
        <v>646</v>
      </c>
    </row>
    <row r="671" ht="22.5" customHeight="1">
      <c r="A671" s="9"/>
      <c r="B671" s="56"/>
      <c r="C671" s="13" t="str">
        <f>IFERROR(__xludf.DUMMYFUNCTION("IF(B671="""","""",LOWER(REGEXREPLACE(B671,""[^A-Za-z0-9]"",""""))&amp;""-""&amp;TEXT(COUNTIF($B$2:B671,B671),""000""))"),"")</f>
        <v/>
      </c>
      <c r="D671" s="57"/>
      <c r="E671" s="58"/>
      <c r="F671" s="59"/>
      <c r="G671" s="10"/>
      <c r="H671" s="55"/>
      <c r="I671" s="28"/>
      <c r="J671" s="28" t="s">
        <v>646</v>
      </c>
    </row>
    <row r="672" ht="22.5" customHeight="1">
      <c r="A672" s="9"/>
      <c r="B672" s="56"/>
      <c r="C672" s="13" t="str">
        <f>IFERROR(__xludf.DUMMYFUNCTION("IF(B672="""","""",LOWER(REGEXREPLACE(B672,""[^A-Za-z0-9]"",""""))&amp;""-""&amp;TEXT(COUNTIF($B$2:B672,B672),""000""))"),"")</f>
        <v/>
      </c>
      <c r="D672" s="57"/>
      <c r="E672" s="58"/>
      <c r="F672" s="59"/>
      <c r="G672" s="10"/>
      <c r="H672" s="55"/>
      <c r="I672" s="28"/>
      <c r="J672" s="28" t="s">
        <v>646</v>
      </c>
    </row>
    <row r="673" ht="22.5" customHeight="1">
      <c r="A673" s="9"/>
      <c r="B673" s="56"/>
      <c r="C673" s="13" t="str">
        <f>IFERROR(__xludf.DUMMYFUNCTION("IF(B673="""","""",LOWER(REGEXREPLACE(B673,""[^A-Za-z0-9]"",""""))&amp;""-""&amp;TEXT(COUNTIF($B$2:B673,B673),""000""))"),"")</f>
        <v/>
      </c>
      <c r="D673" s="57"/>
      <c r="E673" s="58"/>
      <c r="F673" s="59"/>
      <c r="G673" s="10"/>
      <c r="H673" s="55"/>
      <c r="I673" s="28"/>
      <c r="J673" s="28" t="s">
        <v>646</v>
      </c>
    </row>
    <row r="674" ht="22.5" customHeight="1">
      <c r="A674" s="9"/>
      <c r="B674" s="56"/>
      <c r="C674" s="13" t="str">
        <f>IFERROR(__xludf.DUMMYFUNCTION("IF(B674="""","""",LOWER(REGEXREPLACE(B674,""[^A-Za-z0-9]"",""""))&amp;""-""&amp;TEXT(COUNTIF($B$2:B674,B674),""000""))"),"")</f>
        <v/>
      </c>
      <c r="D674" s="57"/>
      <c r="E674" s="58"/>
      <c r="F674" s="59"/>
      <c r="G674" s="10"/>
      <c r="H674" s="55"/>
      <c r="I674" s="28"/>
      <c r="J674" s="28" t="s">
        <v>646</v>
      </c>
    </row>
    <row r="675" ht="22.5" customHeight="1">
      <c r="A675" s="9"/>
      <c r="B675" s="56"/>
      <c r="C675" s="13" t="str">
        <f>IFERROR(__xludf.DUMMYFUNCTION("IF(B675="""","""",LOWER(REGEXREPLACE(B675,""[^A-Za-z0-9]"",""""))&amp;""-""&amp;TEXT(COUNTIF($B$2:B675,B675),""000""))"),"")</f>
        <v/>
      </c>
      <c r="D675" s="57"/>
      <c r="E675" s="58"/>
      <c r="F675" s="59"/>
      <c r="G675" s="10"/>
      <c r="H675" s="55"/>
      <c r="I675" s="28"/>
      <c r="J675" s="28" t="s">
        <v>646</v>
      </c>
    </row>
    <row r="676" ht="22.5" customHeight="1">
      <c r="A676" s="9"/>
      <c r="B676" s="56"/>
      <c r="C676" s="13" t="str">
        <f>IFERROR(__xludf.DUMMYFUNCTION("IF(B676="""","""",LOWER(REGEXREPLACE(B676,""[^A-Za-z0-9]"",""""))&amp;""-""&amp;TEXT(COUNTIF($B$2:B676,B676),""000""))"),"")</f>
        <v/>
      </c>
      <c r="D676" s="57"/>
      <c r="E676" s="58"/>
      <c r="F676" s="59"/>
      <c r="G676" s="10"/>
      <c r="H676" s="55"/>
      <c r="I676" s="28"/>
      <c r="J676" s="28" t="s">
        <v>646</v>
      </c>
    </row>
    <row r="677" ht="22.5" customHeight="1">
      <c r="A677" s="9"/>
      <c r="B677" s="56"/>
      <c r="C677" s="13" t="str">
        <f>IFERROR(__xludf.DUMMYFUNCTION("IF(B677="""","""",LOWER(REGEXREPLACE(B677,""[^A-Za-z0-9]"",""""))&amp;""-""&amp;TEXT(COUNTIF($B$2:B677,B677),""000""))"),"")</f>
        <v/>
      </c>
      <c r="D677" s="57"/>
      <c r="E677" s="58"/>
      <c r="F677" s="59"/>
      <c r="G677" s="10"/>
      <c r="H677" s="55"/>
      <c r="I677" s="28"/>
      <c r="J677" s="28" t="s">
        <v>646</v>
      </c>
    </row>
    <row r="678" ht="22.5" customHeight="1">
      <c r="A678" s="9"/>
      <c r="B678" s="56"/>
      <c r="C678" s="13" t="str">
        <f>IFERROR(__xludf.DUMMYFUNCTION("IF(B678="""","""",LOWER(REGEXREPLACE(B678,""[^A-Za-z0-9]"",""""))&amp;""-""&amp;TEXT(COUNTIF($B$2:B678,B678),""000""))"),"")</f>
        <v/>
      </c>
      <c r="D678" s="57"/>
      <c r="E678" s="58"/>
      <c r="F678" s="59"/>
      <c r="G678" s="10"/>
      <c r="H678" s="55"/>
      <c r="I678" s="28"/>
      <c r="J678" s="28" t="s">
        <v>646</v>
      </c>
    </row>
    <row r="679" ht="22.5" customHeight="1">
      <c r="A679" s="9"/>
      <c r="B679" s="56"/>
      <c r="C679" s="13" t="str">
        <f>IFERROR(__xludf.DUMMYFUNCTION("IF(B679="""","""",LOWER(REGEXREPLACE(B679,""[^A-Za-z0-9]"",""""))&amp;""-""&amp;TEXT(COUNTIF($B$2:B679,B679),""000""))"),"")</f>
        <v/>
      </c>
      <c r="D679" s="57"/>
      <c r="E679" s="58"/>
      <c r="F679" s="59"/>
      <c r="G679" s="10"/>
      <c r="H679" s="55"/>
      <c r="I679" s="28"/>
      <c r="J679" s="28" t="s">
        <v>646</v>
      </c>
    </row>
    <row r="680" ht="22.5" customHeight="1">
      <c r="A680" s="9"/>
      <c r="B680" s="56"/>
      <c r="C680" s="13" t="str">
        <f>IFERROR(__xludf.DUMMYFUNCTION("IF(B680="""","""",LOWER(REGEXREPLACE(B680,""[^A-Za-z0-9]"",""""))&amp;""-""&amp;TEXT(COUNTIF($B$2:B680,B680),""000""))"),"")</f>
        <v/>
      </c>
      <c r="D680" s="57"/>
      <c r="E680" s="58"/>
      <c r="F680" s="59"/>
      <c r="G680" s="10"/>
      <c r="H680" s="55"/>
      <c r="I680" s="28"/>
      <c r="J680" s="28" t="s">
        <v>646</v>
      </c>
    </row>
    <row r="681" ht="22.5" customHeight="1">
      <c r="A681" s="9"/>
      <c r="B681" s="56"/>
      <c r="C681" s="13" t="str">
        <f>IFERROR(__xludf.DUMMYFUNCTION("IF(B681="""","""",LOWER(REGEXREPLACE(B681,""[^A-Za-z0-9]"",""""))&amp;""-""&amp;TEXT(COUNTIF($B$2:B681,B681),""000""))"),"")</f>
        <v/>
      </c>
      <c r="D681" s="57"/>
      <c r="E681" s="58"/>
      <c r="F681" s="59"/>
      <c r="G681" s="10"/>
      <c r="H681" s="55"/>
      <c r="I681" s="28"/>
      <c r="J681" s="28" t="s">
        <v>646</v>
      </c>
    </row>
    <row r="682" ht="22.5" customHeight="1">
      <c r="A682" s="9"/>
      <c r="B682" s="56"/>
      <c r="C682" s="13" t="str">
        <f>IFERROR(__xludf.DUMMYFUNCTION("IF(B682="""","""",LOWER(REGEXREPLACE(B682,""[^A-Za-z0-9]"",""""))&amp;""-""&amp;TEXT(COUNTIF($B$2:B682,B682),""000""))"),"")</f>
        <v/>
      </c>
      <c r="D682" s="57"/>
      <c r="E682" s="58"/>
      <c r="F682" s="59"/>
      <c r="G682" s="10"/>
      <c r="H682" s="55"/>
      <c r="I682" s="28"/>
      <c r="J682" s="28" t="s">
        <v>646</v>
      </c>
    </row>
    <row r="683" ht="22.5" customHeight="1">
      <c r="A683" s="9"/>
      <c r="B683" s="56"/>
      <c r="C683" s="13" t="str">
        <f>IFERROR(__xludf.DUMMYFUNCTION("IF(B683="""","""",LOWER(REGEXREPLACE(B683,""[^A-Za-z0-9]"",""""))&amp;""-""&amp;TEXT(COUNTIF($B$2:B683,B683),""000""))"),"")</f>
        <v/>
      </c>
      <c r="D683" s="57"/>
      <c r="E683" s="58"/>
      <c r="F683" s="59"/>
      <c r="G683" s="10"/>
      <c r="H683" s="55"/>
      <c r="I683" s="28"/>
      <c r="J683" s="28" t="s">
        <v>646</v>
      </c>
    </row>
    <row r="684" ht="22.5" customHeight="1">
      <c r="A684" s="9"/>
      <c r="B684" s="56"/>
      <c r="C684" s="13" t="str">
        <f>IFERROR(__xludf.DUMMYFUNCTION("IF(B684="""","""",LOWER(REGEXREPLACE(B684,""[^A-Za-z0-9]"",""""))&amp;""-""&amp;TEXT(COUNTIF($B$2:B684,B684),""000""))"),"")</f>
        <v/>
      </c>
      <c r="D684" s="57"/>
      <c r="E684" s="58"/>
      <c r="F684" s="59"/>
      <c r="G684" s="10"/>
      <c r="H684" s="55"/>
      <c r="I684" s="28"/>
      <c r="J684" s="28" t="s">
        <v>646</v>
      </c>
    </row>
    <row r="685" ht="22.5" customHeight="1">
      <c r="A685" s="9"/>
      <c r="B685" s="56"/>
      <c r="C685" s="13" t="str">
        <f>IFERROR(__xludf.DUMMYFUNCTION("IF(B685="""","""",LOWER(REGEXREPLACE(B685,""[^A-Za-z0-9]"",""""))&amp;""-""&amp;TEXT(COUNTIF($B$2:B685,B685),""000""))"),"")</f>
        <v/>
      </c>
      <c r="D685" s="57"/>
      <c r="E685" s="58"/>
      <c r="F685" s="59"/>
      <c r="G685" s="10"/>
      <c r="H685" s="55"/>
      <c r="I685" s="28"/>
      <c r="J685" s="28" t="s">
        <v>646</v>
      </c>
    </row>
    <row r="686" ht="22.5" customHeight="1">
      <c r="A686" s="9"/>
      <c r="B686" s="56"/>
      <c r="C686" s="13" t="str">
        <f>IFERROR(__xludf.DUMMYFUNCTION("IF(B686="""","""",LOWER(REGEXREPLACE(B686,""[^A-Za-z0-9]"",""""))&amp;""-""&amp;TEXT(COUNTIF($B$2:B686,B686),""000""))"),"")</f>
        <v/>
      </c>
      <c r="D686" s="57"/>
      <c r="E686" s="58"/>
      <c r="F686" s="59"/>
      <c r="G686" s="10"/>
      <c r="H686" s="55"/>
      <c r="I686" s="28"/>
      <c r="J686" s="28" t="s">
        <v>646</v>
      </c>
    </row>
    <row r="687" ht="22.5" customHeight="1">
      <c r="A687" s="9"/>
      <c r="B687" s="56"/>
      <c r="C687" s="13" t="str">
        <f>IFERROR(__xludf.DUMMYFUNCTION("IF(B687="""","""",LOWER(REGEXREPLACE(B687,""[^A-Za-z0-9]"",""""))&amp;""-""&amp;TEXT(COUNTIF($B$2:B687,B687),""000""))"),"")</f>
        <v/>
      </c>
      <c r="D687" s="57"/>
      <c r="E687" s="58"/>
      <c r="F687" s="59"/>
      <c r="G687" s="10"/>
      <c r="H687" s="55"/>
      <c r="I687" s="28"/>
      <c r="J687" s="28" t="s">
        <v>646</v>
      </c>
    </row>
    <row r="688" ht="22.5" customHeight="1">
      <c r="A688" s="9"/>
      <c r="B688" s="56"/>
      <c r="C688" s="13" t="str">
        <f>IFERROR(__xludf.DUMMYFUNCTION("IF(B688="""","""",LOWER(REGEXREPLACE(B688,""[^A-Za-z0-9]"",""""))&amp;""-""&amp;TEXT(COUNTIF($B$2:B688,B688),""000""))"),"")</f>
        <v/>
      </c>
      <c r="D688" s="57"/>
      <c r="E688" s="58"/>
      <c r="F688" s="59"/>
      <c r="G688" s="10"/>
      <c r="H688" s="55"/>
      <c r="I688" s="28"/>
      <c r="J688" s="28" t="s">
        <v>646</v>
      </c>
    </row>
    <row r="689" ht="22.5" customHeight="1">
      <c r="A689" s="9"/>
      <c r="B689" s="56"/>
      <c r="C689" s="13" t="str">
        <f>IFERROR(__xludf.DUMMYFUNCTION("IF(B689="""","""",LOWER(REGEXREPLACE(B689,""[^A-Za-z0-9]"",""""))&amp;""-""&amp;TEXT(COUNTIF($B$2:B689,B689),""000""))"),"")</f>
        <v/>
      </c>
      <c r="D689" s="57"/>
      <c r="E689" s="58"/>
      <c r="F689" s="59"/>
      <c r="G689" s="10"/>
      <c r="H689" s="55"/>
      <c r="I689" s="28"/>
      <c r="J689" s="28" t="s">
        <v>646</v>
      </c>
    </row>
    <row r="690" ht="22.5" customHeight="1">
      <c r="A690" s="9"/>
      <c r="B690" s="56"/>
      <c r="C690" s="13" t="str">
        <f>IFERROR(__xludf.DUMMYFUNCTION("IF(B690="""","""",LOWER(REGEXREPLACE(B690,""[^A-Za-z0-9]"",""""))&amp;""-""&amp;TEXT(COUNTIF($B$2:B690,B690),""000""))"),"")</f>
        <v/>
      </c>
      <c r="D690" s="57"/>
      <c r="E690" s="58"/>
      <c r="F690" s="59"/>
      <c r="G690" s="10"/>
      <c r="H690" s="55"/>
      <c r="I690" s="28"/>
      <c r="J690" s="28" t="s">
        <v>646</v>
      </c>
    </row>
    <row r="691" ht="22.5" customHeight="1">
      <c r="A691" s="9"/>
      <c r="B691" s="56"/>
      <c r="C691" s="13" t="str">
        <f>IFERROR(__xludf.DUMMYFUNCTION("IF(B691="""","""",LOWER(REGEXREPLACE(B691,""[^A-Za-z0-9]"",""""))&amp;""-""&amp;TEXT(COUNTIF($B$2:B691,B691),""000""))"),"")</f>
        <v/>
      </c>
      <c r="D691" s="57"/>
      <c r="E691" s="58"/>
      <c r="F691" s="59"/>
      <c r="G691" s="10"/>
      <c r="H691" s="55"/>
      <c r="I691" s="28"/>
      <c r="J691" s="28" t="s">
        <v>646</v>
      </c>
    </row>
    <row r="692" ht="22.5" customHeight="1">
      <c r="A692" s="9"/>
      <c r="B692" s="56"/>
      <c r="C692" s="13" t="str">
        <f>IFERROR(__xludf.DUMMYFUNCTION("IF(B692="""","""",LOWER(REGEXREPLACE(B692,""[^A-Za-z0-9]"",""""))&amp;""-""&amp;TEXT(COUNTIF($B$2:B692,B692),""000""))"),"")</f>
        <v/>
      </c>
      <c r="D692" s="57"/>
      <c r="E692" s="58"/>
      <c r="F692" s="59"/>
      <c r="G692" s="10"/>
      <c r="H692" s="55"/>
      <c r="I692" s="28"/>
      <c r="J692" s="28" t="s">
        <v>646</v>
      </c>
    </row>
    <row r="693" ht="22.5" customHeight="1">
      <c r="A693" s="9"/>
      <c r="B693" s="56"/>
      <c r="C693" s="13" t="str">
        <f>IFERROR(__xludf.DUMMYFUNCTION("IF(B693="""","""",LOWER(REGEXREPLACE(B693,""[^A-Za-z0-9]"",""""))&amp;""-""&amp;TEXT(COUNTIF($B$2:B693,B693),""000""))"),"")</f>
        <v/>
      </c>
      <c r="D693" s="57"/>
      <c r="E693" s="58"/>
      <c r="F693" s="59"/>
      <c r="G693" s="10"/>
      <c r="H693" s="55"/>
      <c r="I693" s="28"/>
      <c r="J693" s="28" t="s">
        <v>646</v>
      </c>
    </row>
    <row r="694" ht="22.5" customHeight="1">
      <c r="A694" s="9"/>
      <c r="B694" s="56"/>
      <c r="C694" s="13" t="str">
        <f>IFERROR(__xludf.DUMMYFUNCTION("IF(B694="""","""",LOWER(REGEXREPLACE(B694,""[^A-Za-z0-9]"",""""))&amp;""-""&amp;TEXT(COUNTIF($B$2:B694,B694),""000""))"),"")</f>
        <v/>
      </c>
      <c r="D694" s="57"/>
      <c r="E694" s="58"/>
      <c r="F694" s="59"/>
      <c r="G694" s="10"/>
      <c r="H694" s="55"/>
      <c r="I694" s="28"/>
      <c r="J694" s="28" t="s">
        <v>646</v>
      </c>
    </row>
    <row r="695" ht="22.5" customHeight="1">
      <c r="A695" s="9"/>
      <c r="B695" s="56"/>
      <c r="C695" s="13" t="str">
        <f>IFERROR(__xludf.DUMMYFUNCTION("IF(B695="""","""",LOWER(REGEXREPLACE(B695,""[^A-Za-z0-9]"",""""))&amp;""-""&amp;TEXT(COUNTIF($B$2:B695,B695),""000""))"),"")</f>
        <v/>
      </c>
      <c r="D695" s="57"/>
      <c r="E695" s="58"/>
      <c r="F695" s="59"/>
      <c r="G695" s="10"/>
      <c r="H695" s="55"/>
      <c r="I695" s="28"/>
      <c r="J695" s="28" t="s">
        <v>646</v>
      </c>
    </row>
    <row r="696" ht="22.5" customHeight="1">
      <c r="A696" s="9"/>
      <c r="B696" s="56"/>
      <c r="C696" s="13" t="str">
        <f>IFERROR(__xludf.DUMMYFUNCTION("IF(B696="""","""",LOWER(REGEXREPLACE(B696,""[^A-Za-z0-9]"",""""))&amp;""-""&amp;TEXT(COUNTIF($B$2:B696,B696),""000""))"),"")</f>
        <v/>
      </c>
      <c r="D696" s="57"/>
      <c r="E696" s="58"/>
      <c r="F696" s="59"/>
      <c r="G696" s="10"/>
      <c r="H696" s="55"/>
      <c r="I696" s="28"/>
      <c r="J696" s="28" t="s">
        <v>646</v>
      </c>
    </row>
    <row r="697" ht="22.5" customHeight="1">
      <c r="A697" s="9"/>
      <c r="B697" s="56"/>
      <c r="C697" s="13" t="str">
        <f>IFERROR(__xludf.DUMMYFUNCTION("IF(B697="""","""",LOWER(REGEXREPLACE(B697,""[^A-Za-z0-9]"",""""))&amp;""-""&amp;TEXT(COUNTIF($B$2:B697,B697),""000""))"),"")</f>
        <v/>
      </c>
      <c r="D697" s="57"/>
      <c r="E697" s="58"/>
      <c r="F697" s="59"/>
      <c r="G697" s="10"/>
      <c r="H697" s="55"/>
      <c r="I697" s="28"/>
      <c r="J697" s="28" t="s">
        <v>646</v>
      </c>
    </row>
    <row r="698" ht="22.5" customHeight="1">
      <c r="A698" s="9"/>
      <c r="B698" s="56"/>
      <c r="C698" s="13" t="str">
        <f>IFERROR(__xludf.DUMMYFUNCTION("IF(B698="""","""",LOWER(REGEXREPLACE(B698,""[^A-Za-z0-9]"",""""))&amp;""-""&amp;TEXT(COUNTIF($B$2:B698,B698),""000""))"),"")</f>
        <v/>
      </c>
      <c r="D698" s="57"/>
      <c r="E698" s="58"/>
      <c r="F698" s="59"/>
      <c r="G698" s="10"/>
      <c r="H698" s="55"/>
      <c r="I698" s="28"/>
      <c r="J698" s="28" t="s">
        <v>646</v>
      </c>
    </row>
    <row r="699" ht="22.5" customHeight="1">
      <c r="A699" s="9"/>
      <c r="B699" s="56"/>
      <c r="C699" s="13" t="str">
        <f>IFERROR(__xludf.DUMMYFUNCTION("IF(B699="""","""",LOWER(REGEXREPLACE(B699,""[^A-Za-z0-9]"",""""))&amp;""-""&amp;TEXT(COUNTIF($B$2:B699,B699),""000""))"),"")</f>
        <v/>
      </c>
      <c r="D699" s="57"/>
      <c r="E699" s="58"/>
      <c r="F699" s="59"/>
      <c r="G699" s="10"/>
      <c r="H699" s="55"/>
      <c r="I699" s="28"/>
      <c r="J699" s="28" t="s">
        <v>646</v>
      </c>
    </row>
    <row r="700" ht="22.5" customHeight="1">
      <c r="A700" s="9"/>
      <c r="B700" s="56"/>
      <c r="C700" s="13" t="str">
        <f>IFERROR(__xludf.DUMMYFUNCTION("IF(B700="""","""",LOWER(REGEXREPLACE(B700,""[^A-Za-z0-9]"",""""))&amp;""-""&amp;TEXT(COUNTIF($B$2:B700,B700),""000""))"),"")</f>
        <v/>
      </c>
      <c r="D700" s="57"/>
      <c r="E700" s="58"/>
      <c r="F700" s="59"/>
      <c r="G700" s="10"/>
      <c r="H700" s="55"/>
      <c r="I700" s="28"/>
      <c r="J700" s="28" t="s">
        <v>646</v>
      </c>
    </row>
    <row r="701" ht="22.5" customHeight="1">
      <c r="A701" s="9"/>
      <c r="B701" s="56"/>
      <c r="C701" s="13" t="str">
        <f>IFERROR(__xludf.DUMMYFUNCTION("IF(B701="""","""",LOWER(REGEXREPLACE(B701,""[^A-Za-z0-9]"",""""))&amp;""-""&amp;TEXT(COUNTIF($B$2:B701,B701),""000""))"),"")</f>
        <v/>
      </c>
      <c r="D701" s="57"/>
      <c r="E701" s="58"/>
      <c r="F701" s="59"/>
      <c r="G701" s="10"/>
      <c r="H701" s="55"/>
      <c r="I701" s="28"/>
      <c r="J701" s="28" t="s">
        <v>646</v>
      </c>
    </row>
    <row r="702" ht="22.5" customHeight="1">
      <c r="A702" s="9"/>
      <c r="B702" s="56"/>
      <c r="C702" s="13" t="str">
        <f>IFERROR(__xludf.DUMMYFUNCTION("IF(B702="""","""",LOWER(REGEXREPLACE(B702,""[^A-Za-z0-9]"",""""))&amp;""-""&amp;TEXT(COUNTIF($B$2:B702,B702),""000""))"),"")</f>
        <v/>
      </c>
      <c r="D702" s="57"/>
      <c r="E702" s="58"/>
      <c r="F702" s="59"/>
      <c r="G702" s="10"/>
      <c r="H702" s="55"/>
      <c r="I702" s="28"/>
      <c r="J702" s="28" t="s">
        <v>646</v>
      </c>
    </row>
    <row r="703" ht="22.5" customHeight="1">
      <c r="A703" s="9"/>
      <c r="B703" s="56"/>
      <c r="C703" s="13" t="str">
        <f>IFERROR(__xludf.DUMMYFUNCTION("IF(B703="""","""",LOWER(REGEXREPLACE(B703,""[^A-Za-z0-9]"",""""))&amp;""-""&amp;TEXT(COUNTIF($B$2:B703,B703),""000""))"),"")</f>
        <v/>
      </c>
      <c r="D703" s="57"/>
      <c r="E703" s="58"/>
      <c r="F703" s="59"/>
      <c r="G703" s="10"/>
      <c r="H703" s="55"/>
      <c r="I703" s="28"/>
      <c r="J703" s="28" t="s">
        <v>646</v>
      </c>
    </row>
    <row r="704" ht="22.5" customHeight="1">
      <c r="A704" s="9"/>
      <c r="B704" s="56"/>
      <c r="C704" s="13" t="str">
        <f>IFERROR(__xludf.DUMMYFUNCTION("IF(B704="""","""",LOWER(REGEXREPLACE(B704,""[^A-Za-z0-9]"",""""))&amp;""-""&amp;TEXT(COUNTIF($B$2:B704,B704),""000""))"),"")</f>
        <v/>
      </c>
      <c r="D704" s="57"/>
      <c r="E704" s="58"/>
      <c r="F704" s="59"/>
      <c r="G704" s="10"/>
      <c r="H704" s="55"/>
      <c r="I704" s="28"/>
      <c r="J704" s="28" t="s">
        <v>646</v>
      </c>
    </row>
    <row r="705" ht="22.5" customHeight="1">
      <c r="A705" s="9"/>
      <c r="B705" s="56"/>
      <c r="C705" s="13" t="str">
        <f>IFERROR(__xludf.DUMMYFUNCTION("IF(B705="""","""",LOWER(REGEXREPLACE(B705,""[^A-Za-z0-9]"",""""))&amp;""-""&amp;TEXT(COUNTIF($B$2:B705,B705),""000""))"),"")</f>
        <v/>
      </c>
      <c r="D705" s="57"/>
      <c r="E705" s="58"/>
      <c r="F705" s="59"/>
      <c r="G705" s="10"/>
      <c r="H705" s="55"/>
      <c r="I705" s="28"/>
      <c r="J705" s="28" t="s">
        <v>646</v>
      </c>
    </row>
    <row r="706" ht="22.5" customHeight="1">
      <c r="A706" s="9"/>
      <c r="B706" s="56"/>
      <c r="C706" s="13" t="str">
        <f>IFERROR(__xludf.DUMMYFUNCTION("IF(B706="""","""",LOWER(REGEXREPLACE(B706,""[^A-Za-z0-9]"",""""))&amp;""-""&amp;TEXT(COUNTIF($B$2:B706,B706),""000""))"),"")</f>
        <v/>
      </c>
      <c r="D706" s="57"/>
      <c r="E706" s="58"/>
      <c r="F706" s="59"/>
      <c r="G706" s="10"/>
      <c r="H706" s="55"/>
      <c r="I706" s="28"/>
      <c r="J706" s="28" t="s">
        <v>646</v>
      </c>
    </row>
    <row r="707" ht="22.5" customHeight="1">
      <c r="A707" s="9"/>
      <c r="B707" s="56"/>
      <c r="C707" s="13" t="str">
        <f>IFERROR(__xludf.DUMMYFUNCTION("IF(B707="""","""",LOWER(REGEXREPLACE(B707,""[^A-Za-z0-9]"",""""))&amp;""-""&amp;TEXT(COUNTIF($B$2:B707,B707),""000""))"),"")</f>
        <v/>
      </c>
      <c r="D707" s="57"/>
      <c r="E707" s="58"/>
      <c r="F707" s="59"/>
      <c r="G707" s="10"/>
      <c r="H707" s="55"/>
      <c r="I707" s="28"/>
      <c r="J707" s="28" t="s">
        <v>646</v>
      </c>
    </row>
    <row r="708" ht="22.5" customHeight="1">
      <c r="A708" s="9"/>
      <c r="B708" s="56"/>
      <c r="C708" s="13" t="str">
        <f>IFERROR(__xludf.DUMMYFUNCTION("IF(B708="""","""",LOWER(REGEXREPLACE(B708,""[^A-Za-z0-9]"",""""))&amp;""-""&amp;TEXT(COUNTIF($B$2:B708,B708),""000""))"),"")</f>
        <v/>
      </c>
      <c r="D708" s="57"/>
      <c r="E708" s="58"/>
      <c r="F708" s="59"/>
      <c r="G708" s="10"/>
      <c r="H708" s="55"/>
      <c r="I708" s="28"/>
      <c r="J708" s="28" t="s">
        <v>646</v>
      </c>
    </row>
    <row r="709" ht="22.5" customHeight="1">
      <c r="A709" s="9"/>
      <c r="B709" s="56"/>
      <c r="C709" s="13" t="str">
        <f>IFERROR(__xludf.DUMMYFUNCTION("IF(B709="""","""",LOWER(REGEXREPLACE(B709,""[^A-Za-z0-9]"",""""))&amp;""-""&amp;TEXT(COUNTIF($B$2:B709,B709),""000""))"),"")</f>
        <v/>
      </c>
      <c r="D709" s="57"/>
      <c r="E709" s="58"/>
      <c r="F709" s="59"/>
      <c r="G709" s="10"/>
      <c r="H709" s="55"/>
      <c r="I709" s="28"/>
      <c r="J709" s="28" t="s">
        <v>646</v>
      </c>
    </row>
    <row r="710" ht="22.5" customHeight="1">
      <c r="A710" s="9"/>
      <c r="B710" s="56"/>
      <c r="C710" s="13" t="str">
        <f>IFERROR(__xludf.DUMMYFUNCTION("IF(B710="""","""",LOWER(REGEXREPLACE(B710,""[^A-Za-z0-9]"",""""))&amp;""-""&amp;TEXT(COUNTIF($B$2:B710,B710),""000""))"),"")</f>
        <v/>
      </c>
      <c r="D710" s="57"/>
      <c r="E710" s="58"/>
      <c r="F710" s="59"/>
      <c r="G710" s="10"/>
      <c r="H710" s="55"/>
      <c r="I710" s="28"/>
      <c r="J710" s="28" t="s">
        <v>646</v>
      </c>
    </row>
    <row r="711" ht="22.5" customHeight="1">
      <c r="A711" s="9"/>
      <c r="B711" s="56"/>
      <c r="C711" s="13" t="str">
        <f>IFERROR(__xludf.DUMMYFUNCTION("IF(B711="""","""",LOWER(REGEXREPLACE(B711,""[^A-Za-z0-9]"",""""))&amp;""-""&amp;TEXT(COUNTIF($B$2:B711,B711),""000""))"),"")</f>
        <v/>
      </c>
      <c r="D711" s="57"/>
      <c r="E711" s="58"/>
      <c r="F711" s="59"/>
      <c r="G711" s="10"/>
      <c r="H711" s="55"/>
      <c r="I711" s="28"/>
      <c r="J711" s="28" t="s">
        <v>646</v>
      </c>
    </row>
    <row r="712" ht="22.5" customHeight="1">
      <c r="A712" s="9"/>
      <c r="B712" s="56"/>
      <c r="C712" s="13" t="str">
        <f>IFERROR(__xludf.DUMMYFUNCTION("IF(B712="""","""",LOWER(REGEXREPLACE(B712,""[^A-Za-z0-9]"",""""))&amp;""-""&amp;TEXT(COUNTIF($B$2:B712,B712),""000""))"),"")</f>
        <v/>
      </c>
      <c r="D712" s="57"/>
      <c r="E712" s="58"/>
      <c r="F712" s="59"/>
      <c r="G712" s="10"/>
      <c r="H712" s="55"/>
      <c r="I712" s="28"/>
      <c r="J712" s="28" t="s">
        <v>646</v>
      </c>
    </row>
    <row r="713" ht="22.5" customHeight="1">
      <c r="A713" s="9"/>
      <c r="B713" s="56"/>
      <c r="C713" s="13" t="str">
        <f>IFERROR(__xludf.DUMMYFUNCTION("IF(B713="""","""",LOWER(REGEXREPLACE(B713,""[^A-Za-z0-9]"",""""))&amp;""-""&amp;TEXT(COUNTIF($B$2:B713,B713),""000""))"),"")</f>
        <v/>
      </c>
      <c r="D713" s="57"/>
      <c r="E713" s="58"/>
      <c r="F713" s="59"/>
      <c r="G713" s="10"/>
      <c r="H713" s="55"/>
      <c r="I713" s="28"/>
      <c r="J713" s="28" t="s">
        <v>646</v>
      </c>
    </row>
    <row r="714" ht="22.5" customHeight="1">
      <c r="A714" s="9"/>
      <c r="B714" s="56"/>
      <c r="C714" s="13" t="str">
        <f>IFERROR(__xludf.DUMMYFUNCTION("IF(B714="""","""",LOWER(REGEXREPLACE(B714,""[^A-Za-z0-9]"",""""))&amp;""-""&amp;TEXT(COUNTIF($B$2:B714,B714),""000""))"),"")</f>
        <v/>
      </c>
      <c r="D714" s="57"/>
      <c r="E714" s="58"/>
      <c r="F714" s="59"/>
      <c r="G714" s="10"/>
      <c r="H714" s="55"/>
      <c r="I714" s="28"/>
      <c r="J714" s="28" t="s">
        <v>646</v>
      </c>
    </row>
    <row r="715" ht="22.5" customHeight="1">
      <c r="A715" s="9"/>
      <c r="B715" s="56"/>
      <c r="C715" s="13" t="str">
        <f>IFERROR(__xludf.DUMMYFUNCTION("IF(B715="""","""",LOWER(REGEXREPLACE(B715,""[^A-Za-z0-9]"",""""))&amp;""-""&amp;TEXT(COUNTIF($B$2:B715,B715),""000""))"),"")</f>
        <v/>
      </c>
      <c r="D715" s="57"/>
      <c r="E715" s="58"/>
      <c r="F715" s="59"/>
      <c r="G715" s="10"/>
      <c r="H715" s="55"/>
      <c r="I715" s="28"/>
      <c r="J715" s="28" t="s">
        <v>646</v>
      </c>
    </row>
    <row r="716" ht="22.5" customHeight="1">
      <c r="A716" s="9"/>
      <c r="B716" s="56"/>
      <c r="C716" s="13" t="str">
        <f>IFERROR(__xludf.DUMMYFUNCTION("IF(B716="""","""",LOWER(REGEXREPLACE(B716,""[^A-Za-z0-9]"",""""))&amp;""-""&amp;TEXT(COUNTIF($B$2:B716,B716),""000""))"),"")</f>
        <v/>
      </c>
      <c r="D716" s="57"/>
      <c r="E716" s="58"/>
      <c r="F716" s="59"/>
      <c r="G716" s="10"/>
      <c r="H716" s="55"/>
      <c r="I716" s="28"/>
      <c r="J716" s="28" t="s">
        <v>646</v>
      </c>
    </row>
    <row r="717" ht="22.5" customHeight="1">
      <c r="A717" s="9"/>
      <c r="B717" s="56"/>
      <c r="C717" s="13" t="str">
        <f>IFERROR(__xludf.DUMMYFUNCTION("IF(B717="""","""",LOWER(REGEXREPLACE(B717,""[^A-Za-z0-9]"",""""))&amp;""-""&amp;TEXT(COUNTIF($B$2:B717,B717),""000""))"),"")</f>
        <v/>
      </c>
      <c r="D717" s="57"/>
      <c r="E717" s="58"/>
      <c r="F717" s="59"/>
      <c r="G717" s="10"/>
      <c r="H717" s="55"/>
      <c r="I717" s="28"/>
      <c r="J717" s="28" t="s">
        <v>646</v>
      </c>
    </row>
    <row r="718" ht="22.5" customHeight="1">
      <c r="A718" s="9"/>
      <c r="B718" s="56"/>
      <c r="C718" s="13" t="str">
        <f>IFERROR(__xludf.DUMMYFUNCTION("IF(B718="""","""",LOWER(REGEXREPLACE(B718,""[^A-Za-z0-9]"",""""))&amp;""-""&amp;TEXT(COUNTIF($B$2:B718,B718),""000""))"),"")</f>
        <v/>
      </c>
      <c r="D718" s="57"/>
      <c r="E718" s="58"/>
      <c r="F718" s="59"/>
      <c r="G718" s="10"/>
      <c r="H718" s="55"/>
      <c r="I718" s="28"/>
      <c r="J718" s="28" t="s">
        <v>646</v>
      </c>
    </row>
    <row r="719" ht="22.5" customHeight="1">
      <c r="A719" s="9"/>
      <c r="B719" s="56"/>
      <c r="C719" s="13" t="str">
        <f>IFERROR(__xludf.DUMMYFUNCTION("IF(B719="""","""",LOWER(REGEXREPLACE(B719,""[^A-Za-z0-9]"",""""))&amp;""-""&amp;TEXT(COUNTIF($B$2:B719,B719),""000""))"),"")</f>
        <v/>
      </c>
      <c r="D719" s="57"/>
      <c r="E719" s="58"/>
      <c r="F719" s="59"/>
      <c r="G719" s="10"/>
      <c r="H719" s="55"/>
      <c r="I719" s="28"/>
      <c r="J719" s="28" t="s">
        <v>646</v>
      </c>
    </row>
    <row r="720" ht="22.5" customHeight="1">
      <c r="A720" s="9"/>
      <c r="B720" s="56"/>
      <c r="C720" s="13" t="str">
        <f>IFERROR(__xludf.DUMMYFUNCTION("IF(B720="""","""",LOWER(REGEXREPLACE(B720,""[^A-Za-z0-9]"",""""))&amp;""-""&amp;TEXT(COUNTIF($B$2:B720,B720),""000""))"),"")</f>
        <v/>
      </c>
      <c r="D720" s="57"/>
      <c r="E720" s="58"/>
      <c r="F720" s="59"/>
      <c r="G720" s="10"/>
      <c r="H720" s="55"/>
      <c r="I720" s="28"/>
      <c r="J720" s="28" t="s">
        <v>646</v>
      </c>
    </row>
    <row r="721" ht="22.5" customHeight="1">
      <c r="A721" s="9"/>
      <c r="B721" s="56"/>
      <c r="C721" s="13" t="str">
        <f>IFERROR(__xludf.DUMMYFUNCTION("IF(B721="""","""",LOWER(REGEXREPLACE(B721,""[^A-Za-z0-9]"",""""))&amp;""-""&amp;TEXT(COUNTIF($B$2:B721,B721),""000""))"),"")</f>
        <v/>
      </c>
      <c r="D721" s="57"/>
      <c r="E721" s="58"/>
      <c r="F721" s="59"/>
      <c r="G721" s="10"/>
      <c r="H721" s="55"/>
      <c r="I721" s="28"/>
      <c r="J721" s="28" t="s">
        <v>646</v>
      </c>
    </row>
    <row r="722" ht="22.5" customHeight="1">
      <c r="A722" s="9"/>
      <c r="B722" s="56"/>
      <c r="C722" s="13" t="str">
        <f>IFERROR(__xludf.DUMMYFUNCTION("IF(B722="""","""",LOWER(REGEXREPLACE(B722,""[^A-Za-z0-9]"",""""))&amp;""-""&amp;TEXT(COUNTIF($B$2:B722,B722),""000""))"),"")</f>
        <v/>
      </c>
      <c r="D722" s="57"/>
      <c r="E722" s="58"/>
      <c r="F722" s="59"/>
      <c r="G722" s="10"/>
      <c r="H722" s="55"/>
      <c r="I722" s="28"/>
      <c r="J722" s="28" t="s">
        <v>646</v>
      </c>
    </row>
    <row r="723" ht="22.5" customHeight="1">
      <c r="A723" s="9"/>
      <c r="B723" s="56"/>
      <c r="C723" s="13" t="str">
        <f>IFERROR(__xludf.DUMMYFUNCTION("IF(B723="""","""",LOWER(REGEXREPLACE(B723,""[^A-Za-z0-9]"",""""))&amp;""-""&amp;TEXT(COUNTIF($B$2:B723,B723),""000""))"),"")</f>
        <v/>
      </c>
      <c r="D723" s="57"/>
      <c r="E723" s="58"/>
      <c r="F723" s="59"/>
      <c r="G723" s="10"/>
      <c r="H723" s="55"/>
      <c r="I723" s="28"/>
      <c r="J723" s="28" t="s">
        <v>646</v>
      </c>
    </row>
    <row r="724" ht="22.5" customHeight="1">
      <c r="A724" s="9"/>
      <c r="B724" s="56"/>
      <c r="C724" s="13" t="str">
        <f>IFERROR(__xludf.DUMMYFUNCTION("IF(B724="""","""",LOWER(REGEXREPLACE(B724,""[^A-Za-z0-9]"",""""))&amp;""-""&amp;TEXT(COUNTIF($B$2:B724,B724),""000""))"),"")</f>
        <v/>
      </c>
      <c r="D724" s="57"/>
      <c r="E724" s="58"/>
      <c r="F724" s="59"/>
      <c r="G724" s="10"/>
      <c r="H724" s="55"/>
      <c r="I724" s="28"/>
      <c r="J724" s="28" t="s">
        <v>646</v>
      </c>
    </row>
    <row r="725" ht="22.5" customHeight="1">
      <c r="A725" s="9"/>
      <c r="B725" s="56"/>
      <c r="C725" s="13" t="str">
        <f>IFERROR(__xludf.DUMMYFUNCTION("IF(B725="""","""",LOWER(REGEXREPLACE(B725,""[^A-Za-z0-9]"",""""))&amp;""-""&amp;TEXT(COUNTIF($B$2:B725,B725),""000""))"),"")</f>
        <v/>
      </c>
      <c r="D725" s="57"/>
      <c r="E725" s="58"/>
      <c r="F725" s="59"/>
      <c r="G725" s="10"/>
      <c r="H725" s="55"/>
      <c r="I725" s="28"/>
      <c r="J725" s="28" t="s">
        <v>646</v>
      </c>
    </row>
    <row r="726" ht="22.5" customHeight="1">
      <c r="A726" s="9"/>
      <c r="B726" s="56"/>
      <c r="C726" s="13" t="str">
        <f>IFERROR(__xludf.DUMMYFUNCTION("IF(B726="""","""",LOWER(REGEXREPLACE(B726,""[^A-Za-z0-9]"",""""))&amp;""-""&amp;TEXT(COUNTIF($B$2:B726,B726),""000""))"),"")</f>
        <v/>
      </c>
      <c r="D726" s="57"/>
      <c r="E726" s="58"/>
      <c r="F726" s="59"/>
      <c r="G726" s="10"/>
      <c r="H726" s="55"/>
      <c r="I726" s="28"/>
      <c r="J726" s="28" t="s">
        <v>646</v>
      </c>
    </row>
    <row r="727" ht="22.5" customHeight="1">
      <c r="A727" s="9"/>
      <c r="B727" s="56"/>
      <c r="C727" s="13" t="str">
        <f>IFERROR(__xludf.DUMMYFUNCTION("IF(B727="""","""",LOWER(REGEXREPLACE(B727,""[^A-Za-z0-9]"",""""))&amp;""-""&amp;TEXT(COUNTIF($B$2:B727,B727),""000""))"),"")</f>
        <v/>
      </c>
      <c r="D727" s="57"/>
      <c r="E727" s="58"/>
      <c r="F727" s="59"/>
      <c r="G727" s="10"/>
      <c r="H727" s="55"/>
      <c r="I727" s="28"/>
      <c r="J727" s="28" t="s">
        <v>646</v>
      </c>
    </row>
    <row r="728" ht="22.5" customHeight="1">
      <c r="A728" s="9"/>
      <c r="B728" s="56"/>
      <c r="C728" s="13" t="str">
        <f>IFERROR(__xludf.DUMMYFUNCTION("IF(B728="""","""",LOWER(REGEXREPLACE(B728,""[^A-Za-z0-9]"",""""))&amp;""-""&amp;TEXT(COUNTIF($B$2:B728,B728),""000""))"),"")</f>
        <v/>
      </c>
      <c r="D728" s="57"/>
      <c r="E728" s="58"/>
      <c r="F728" s="59"/>
      <c r="G728" s="10"/>
      <c r="H728" s="55"/>
      <c r="I728" s="28"/>
      <c r="J728" s="28" t="s">
        <v>646</v>
      </c>
    </row>
    <row r="729" ht="22.5" customHeight="1">
      <c r="A729" s="9"/>
      <c r="B729" s="56"/>
      <c r="C729" s="13" t="str">
        <f>IFERROR(__xludf.DUMMYFUNCTION("IF(B729="""","""",LOWER(REGEXREPLACE(B729,""[^A-Za-z0-9]"",""""))&amp;""-""&amp;TEXT(COUNTIF($B$2:B729,B729),""000""))"),"")</f>
        <v/>
      </c>
      <c r="D729" s="57"/>
      <c r="E729" s="58"/>
      <c r="F729" s="59"/>
      <c r="G729" s="10"/>
      <c r="H729" s="55"/>
      <c r="I729" s="28"/>
      <c r="J729" s="28" t="s">
        <v>646</v>
      </c>
    </row>
    <row r="730" ht="22.5" customHeight="1">
      <c r="A730" s="9"/>
      <c r="B730" s="56"/>
      <c r="C730" s="13" t="str">
        <f>IFERROR(__xludf.DUMMYFUNCTION("IF(B730="""","""",LOWER(REGEXREPLACE(B730,""[^A-Za-z0-9]"",""""))&amp;""-""&amp;TEXT(COUNTIF($B$2:B730,B730),""000""))"),"")</f>
        <v/>
      </c>
      <c r="D730" s="57"/>
      <c r="E730" s="58"/>
      <c r="F730" s="59"/>
      <c r="G730" s="10"/>
      <c r="H730" s="55"/>
      <c r="I730" s="28"/>
      <c r="J730" s="28" t="s">
        <v>646</v>
      </c>
    </row>
    <row r="731" ht="22.5" customHeight="1">
      <c r="A731" s="9"/>
      <c r="B731" s="56"/>
      <c r="C731" s="13" t="str">
        <f>IFERROR(__xludf.DUMMYFUNCTION("IF(B731="""","""",LOWER(REGEXREPLACE(B731,""[^A-Za-z0-9]"",""""))&amp;""-""&amp;TEXT(COUNTIF($B$2:B731,B731),""000""))"),"")</f>
        <v/>
      </c>
      <c r="D731" s="57"/>
      <c r="E731" s="58"/>
      <c r="F731" s="59"/>
      <c r="G731" s="10"/>
      <c r="H731" s="55"/>
      <c r="I731" s="28"/>
      <c r="J731" s="28" t="s">
        <v>646</v>
      </c>
    </row>
    <row r="732" ht="22.5" customHeight="1">
      <c r="A732" s="9"/>
      <c r="B732" s="56"/>
      <c r="C732" s="13" t="str">
        <f>IFERROR(__xludf.DUMMYFUNCTION("IF(B732="""","""",LOWER(REGEXREPLACE(B732,""[^A-Za-z0-9]"",""""))&amp;""-""&amp;TEXT(COUNTIF($B$2:B732,B732),""000""))"),"")</f>
        <v/>
      </c>
      <c r="D732" s="57"/>
      <c r="E732" s="58"/>
      <c r="F732" s="59"/>
      <c r="G732" s="10"/>
      <c r="H732" s="55"/>
      <c r="I732" s="28"/>
      <c r="J732" s="28" t="s">
        <v>646</v>
      </c>
    </row>
    <row r="733" ht="22.5" customHeight="1">
      <c r="A733" s="9"/>
      <c r="B733" s="56"/>
      <c r="C733" s="13" t="str">
        <f>IFERROR(__xludf.DUMMYFUNCTION("IF(B733="""","""",LOWER(REGEXREPLACE(B733,""[^A-Za-z0-9]"",""""))&amp;""-""&amp;TEXT(COUNTIF($B$2:B733,B733),""000""))"),"")</f>
        <v/>
      </c>
      <c r="D733" s="57"/>
      <c r="E733" s="58"/>
      <c r="F733" s="59"/>
      <c r="G733" s="10"/>
      <c r="H733" s="55"/>
      <c r="I733" s="28"/>
      <c r="J733" s="28" t="s">
        <v>646</v>
      </c>
    </row>
    <row r="734" ht="22.5" customHeight="1">
      <c r="A734" s="9"/>
      <c r="B734" s="56"/>
      <c r="C734" s="13" t="str">
        <f>IFERROR(__xludf.DUMMYFUNCTION("IF(B734="""","""",LOWER(REGEXREPLACE(B734,""[^A-Za-z0-9]"",""""))&amp;""-""&amp;TEXT(COUNTIF($B$2:B734,B734),""000""))"),"")</f>
        <v/>
      </c>
      <c r="D734" s="57"/>
      <c r="E734" s="58"/>
      <c r="F734" s="59"/>
      <c r="G734" s="10"/>
      <c r="H734" s="55"/>
      <c r="I734" s="28"/>
      <c r="J734" s="28" t="s">
        <v>646</v>
      </c>
    </row>
    <row r="735" ht="22.5" customHeight="1">
      <c r="A735" s="9"/>
      <c r="B735" s="56"/>
      <c r="C735" s="13" t="str">
        <f>IFERROR(__xludf.DUMMYFUNCTION("IF(B735="""","""",LOWER(REGEXREPLACE(B735,""[^A-Za-z0-9]"",""""))&amp;""-""&amp;TEXT(COUNTIF($B$2:B735,B735),""000""))"),"")</f>
        <v/>
      </c>
      <c r="D735" s="57"/>
      <c r="E735" s="58"/>
      <c r="F735" s="59"/>
      <c r="G735" s="10"/>
      <c r="H735" s="55"/>
      <c r="I735" s="28"/>
      <c r="J735" s="28" t="s">
        <v>646</v>
      </c>
    </row>
    <row r="736" ht="22.5" customHeight="1">
      <c r="A736" s="9"/>
      <c r="B736" s="56"/>
      <c r="C736" s="13" t="str">
        <f>IFERROR(__xludf.DUMMYFUNCTION("IF(B736="""","""",LOWER(REGEXREPLACE(B736,""[^A-Za-z0-9]"",""""))&amp;""-""&amp;TEXT(COUNTIF($B$2:B736,B736),""000""))"),"")</f>
        <v/>
      </c>
      <c r="D736" s="57"/>
      <c r="E736" s="58"/>
      <c r="F736" s="59"/>
      <c r="G736" s="10"/>
      <c r="H736" s="55"/>
      <c r="I736" s="28"/>
      <c r="J736" s="28" t="s">
        <v>646</v>
      </c>
    </row>
    <row r="737" ht="22.5" customHeight="1">
      <c r="A737" s="9"/>
      <c r="B737" s="56"/>
      <c r="C737" s="13" t="str">
        <f>IFERROR(__xludf.DUMMYFUNCTION("IF(B737="""","""",LOWER(REGEXREPLACE(B737,""[^A-Za-z0-9]"",""""))&amp;""-""&amp;TEXT(COUNTIF($B$2:B737,B737),""000""))"),"")</f>
        <v/>
      </c>
      <c r="D737" s="57"/>
      <c r="E737" s="58"/>
      <c r="F737" s="59"/>
      <c r="G737" s="10"/>
      <c r="H737" s="55"/>
      <c r="I737" s="28"/>
      <c r="J737" s="28" t="s">
        <v>646</v>
      </c>
    </row>
    <row r="738" ht="22.5" customHeight="1">
      <c r="A738" s="9"/>
      <c r="B738" s="56"/>
      <c r="C738" s="13" t="str">
        <f>IFERROR(__xludf.DUMMYFUNCTION("IF(B738="""","""",LOWER(REGEXREPLACE(B738,""[^A-Za-z0-9]"",""""))&amp;""-""&amp;TEXT(COUNTIF($B$2:B738,B738),""000""))"),"")</f>
        <v/>
      </c>
      <c r="D738" s="57"/>
      <c r="E738" s="58"/>
      <c r="F738" s="59"/>
      <c r="G738" s="10"/>
      <c r="H738" s="55"/>
      <c r="I738" s="28"/>
      <c r="J738" s="28" t="s">
        <v>646</v>
      </c>
    </row>
    <row r="739" ht="22.5" customHeight="1">
      <c r="A739" s="9"/>
      <c r="B739" s="56"/>
      <c r="C739" s="13" t="str">
        <f>IFERROR(__xludf.DUMMYFUNCTION("IF(B739="""","""",LOWER(REGEXREPLACE(B739,""[^A-Za-z0-9]"",""""))&amp;""-""&amp;TEXT(COUNTIF($B$2:B739,B739),""000""))"),"")</f>
        <v/>
      </c>
      <c r="D739" s="57"/>
      <c r="E739" s="58"/>
      <c r="F739" s="59"/>
      <c r="G739" s="10"/>
      <c r="H739" s="55"/>
      <c r="I739" s="28"/>
      <c r="J739" s="28" t="s">
        <v>646</v>
      </c>
    </row>
    <row r="740" ht="22.5" customHeight="1">
      <c r="A740" s="9"/>
      <c r="B740" s="56"/>
      <c r="C740" s="13" t="str">
        <f>IFERROR(__xludf.DUMMYFUNCTION("IF(B740="""","""",LOWER(REGEXREPLACE(B740,""[^A-Za-z0-9]"",""""))&amp;""-""&amp;TEXT(COUNTIF($B$2:B740,B740),""000""))"),"")</f>
        <v/>
      </c>
      <c r="D740" s="57"/>
      <c r="E740" s="58"/>
      <c r="F740" s="59"/>
      <c r="G740" s="10"/>
      <c r="H740" s="55"/>
      <c r="I740" s="28"/>
      <c r="J740" s="28" t="s">
        <v>646</v>
      </c>
    </row>
    <row r="741" ht="22.5" customHeight="1">
      <c r="A741" s="9"/>
      <c r="B741" s="56"/>
      <c r="C741" s="13" t="str">
        <f>IFERROR(__xludf.DUMMYFUNCTION("IF(B741="""","""",LOWER(REGEXREPLACE(B741,""[^A-Za-z0-9]"",""""))&amp;""-""&amp;TEXT(COUNTIF($B$2:B741,B741),""000""))"),"")</f>
        <v/>
      </c>
      <c r="D741" s="57"/>
      <c r="E741" s="58"/>
      <c r="F741" s="59"/>
      <c r="G741" s="10"/>
      <c r="H741" s="55"/>
      <c r="I741" s="28"/>
      <c r="J741" s="28" t="s">
        <v>646</v>
      </c>
    </row>
    <row r="742" ht="22.5" customHeight="1">
      <c r="A742" s="9"/>
      <c r="B742" s="56"/>
      <c r="C742" s="13" t="str">
        <f>IFERROR(__xludf.DUMMYFUNCTION("IF(B742="""","""",LOWER(REGEXREPLACE(B742,""[^A-Za-z0-9]"",""""))&amp;""-""&amp;TEXT(COUNTIF($B$2:B742,B742),""000""))"),"")</f>
        <v/>
      </c>
      <c r="D742" s="57"/>
      <c r="E742" s="58"/>
      <c r="F742" s="59"/>
      <c r="G742" s="10"/>
      <c r="H742" s="55"/>
      <c r="I742" s="28"/>
      <c r="J742" s="28" t="s">
        <v>646</v>
      </c>
    </row>
    <row r="743" ht="22.5" customHeight="1">
      <c r="A743" s="9"/>
      <c r="B743" s="56"/>
      <c r="C743" s="13" t="str">
        <f>IFERROR(__xludf.DUMMYFUNCTION("IF(B743="""","""",LOWER(REGEXREPLACE(B743,""[^A-Za-z0-9]"",""""))&amp;""-""&amp;TEXT(COUNTIF($B$2:B743,B743),""000""))"),"")</f>
        <v/>
      </c>
      <c r="D743" s="57"/>
      <c r="E743" s="58"/>
      <c r="F743" s="59"/>
      <c r="G743" s="10"/>
      <c r="H743" s="55"/>
      <c r="I743" s="28"/>
      <c r="J743" s="28" t="s">
        <v>646</v>
      </c>
    </row>
    <row r="744" ht="22.5" customHeight="1">
      <c r="A744" s="9"/>
      <c r="B744" s="56"/>
      <c r="C744" s="13" t="str">
        <f>IFERROR(__xludf.DUMMYFUNCTION("IF(B744="""","""",LOWER(REGEXREPLACE(B744,""[^A-Za-z0-9]"",""""))&amp;""-""&amp;TEXT(COUNTIF($B$2:B744,B744),""000""))"),"")</f>
        <v/>
      </c>
      <c r="D744" s="57"/>
      <c r="E744" s="58"/>
      <c r="F744" s="59"/>
      <c r="G744" s="10"/>
      <c r="H744" s="55"/>
      <c r="I744" s="28"/>
      <c r="J744" s="28" t="s">
        <v>646</v>
      </c>
    </row>
    <row r="745" ht="22.5" customHeight="1">
      <c r="A745" s="9"/>
      <c r="B745" s="56"/>
      <c r="C745" s="13" t="str">
        <f>IFERROR(__xludf.DUMMYFUNCTION("IF(B745="""","""",LOWER(REGEXREPLACE(B745,""[^A-Za-z0-9]"",""""))&amp;""-""&amp;TEXT(COUNTIF($B$2:B745,B745),""000""))"),"")</f>
        <v/>
      </c>
      <c r="D745" s="57"/>
      <c r="E745" s="58"/>
      <c r="F745" s="59"/>
      <c r="G745" s="10"/>
      <c r="H745" s="55"/>
      <c r="I745" s="28"/>
      <c r="J745" s="28" t="s">
        <v>646</v>
      </c>
    </row>
    <row r="746" ht="22.5" customHeight="1">
      <c r="A746" s="9"/>
      <c r="B746" s="56"/>
      <c r="C746" s="13" t="str">
        <f>IFERROR(__xludf.DUMMYFUNCTION("IF(B746="""","""",LOWER(REGEXREPLACE(B746,""[^A-Za-z0-9]"",""""))&amp;""-""&amp;TEXT(COUNTIF($B$2:B746,B746),""000""))"),"")</f>
        <v/>
      </c>
      <c r="D746" s="57"/>
      <c r="E746" s="58"/>
      <c r="F746" s="59"/>
      <c r="G746" s="10"/>
      <c r="H746" s="55"/>
      <c r="I746" s="28"/>
      <c r="J746" s="28" t="s">
        <v>646</v>
      </c>
    </row>
    <row r="747" ht="22.5" customHeight="1">
      <c r="A747" s="9"/>
      <c r="B747" s="56"/>
      <c r="C747" s="13" t="str">
        <f>IFERROR(__xludf.DUMMYFUNCTION("IF(B747="""","""",LOWER(REGEXREPLACE(B747,""[^A-Za-z0-9]"",""""))&amp;""-""&amp;TEXT(COUNTIF($B$2:B747,B747),""000""))"),"")</f>
        <v/>
      </c>
      <c r="D747" s="57"/>
      <c r="E747" s="58"/>
      <c r="F747" s="59"/>
      <c r="G747" s="10"/>
      <c r="H747" s="55"/>
      <c r="I747" s="28"/>
      <c r="J747" s="28" t="s">
        <v>646</v>
      </c>
    </row>
    <row r="748" ht="22.5" customHeight="1">
      <c r="A748" s="9"/>
      <c r="B748" s="56"/>
      <c r="C748" s="13" t="str">
        <f>IFERROR(__xludf.DUMMYFUNCTION("IF(B748="""","""",LOWER(REGEXREPLACE(B748,""[^A-Za-z0-9]"",""""))&amp;""-""&amp;TEXT(COUNTIF($B$2:B748,B748),""000""))"),"")</f>
        <v/>
      </c>
      <c r="D748" s="57"/>
      <c r="E748" s="58"/>
      <c r="F748" s="59"/>
      <c r="G748" s="10"/>
      <c r="H748" s="55"/>
      <c r="I748" s="28"/>
      <c r="J748" s="28" t="s">
        <v>646</v>
      </c>
    </row>
    <row r="749" ht="22.5" customHeight="1">
      <c r="A749" s="9"/>
      <c r="B749" s="56"/>
      <c r="C749" s="13" t="str">
        <f>IFERROR(__xludf.DUMMYFUNCTION("IF(B749="""","""",LOWER(REGEXREPLACE(B749,""[^A-Za-z0-9]"",""""))&amp;""-""&amp;TEXT(COUNTIF($B$2:B749,B749),""000""))"),"")</f>
        <v/>
      </c>
      <c r="D749" s="57"/>
      <c r="E749" s="58"/>
      <c r="F749" s="59"/>
      <c r="G749" s="10"/>
      <c r="H749" s="55"/>
      <c r="I749" s="28"/>
      <c r="J749" s="28" t="s">
        <v>646</v>
      </c>
    </row>
    <row r="750" ht="22.5" customHeight="1">
      <c r="A750" s="9"/>
      <c r="B750" s="56"/>
      <c r="C750" s="13" t="str">
        <f>IFERROR(__xludf.DUMMYFUNCTION("IF(B750="""","""",LOWER(REGEXREPLACE(B750,""[^A-Za-z0-9]"",""""))&amp;""-""&amp;TEXT(COUNTIF($B$2:B750,B750),""000""))"),"")</f>
        <v/>
      </c>
      <c r="D750" s="57"/>
      <c r="E750" s="58"/>
      <c r="F750" s="59"/>
      <c r="G750" s="10"/>
      <c r="H750" s="55"/>
      <c r="I750" s="28"/>
      <c r="J750" s="28" t="s">
        <v>646</v>
      </c>
    </row>
    <row r="751" ht="22.5" customHeight="1">
      <c r="A751" s="9"/>
      <c r="B751" s="56"/>
      <c r="C751" s="13" t="str">
        <f>IFERROR(__xludf.DUMMYFUNCTION("IF(B751="""","""",LOWER(REGEXREPLACE(B751,""[^A-Za-z0-9]"",""""))&amp;""-""&amp;TEXT(COUNTIF($B$2:B751,B751),""000""))"),"")</f>
        <v/>
      </c>
      <c r="D751" s="57"/>
      <c r="E751" s="58"/>
      <c r="F751" s="59"/>
      <c r="G751" s="10"/>
      <c r="H751" s="55"/>
      <c r="I751" s="28"/>
      <c r="J751" s="28" t="s">
        <v>646</v>
      </c>
    </row>
    <row r="752" ht="22.5" customHeight="1">
      <c r="A752" s="9"/>
      <c r="B752" s="56"/>
      <c r="C752" s="13" t="str">
        <f>IFERROR(__xludf.DUMMYFUNCTION("IF(B752="""","""",LOWER(REGEXREPLACE(B752,""[^A-Za-z0-9]"",""""))&amp;""-""&amp;TEXT(COUNTIF($B$2:B752,B752),""000""))"),"")</f>
        <v/>
      </c>
      <c r="D752" s="57"/>
      <c r="E752" s="58"/>
      <c r="F752" s="59"/>
      <c r="G752" s="10"/>
      <c r="H752" s="55"/>
      <c r="I752" s="28"/>
      <c r="J752" s="28" t="s">
        <v>646</v>
      </c>
    </row>
    <row r="753" ht="22.5" customHeight="1">
      <c r="A753" s="9"/>
      <c r="B753" s="56"/>
      <c r="C753" s="13" t="str">
        <f>IFERROR(__xludf.DUMMYFUNCTION("IF(B753="""","""",LOWER(REGEXREPLACE(B753,""[^A-Za-z0-9]"",""""))&amp;""-""&amp;TEXT(COUNTIF($B$2:B753,B753),""000""))"),"")</f>
        <v/>
      </c>
      <c r="D753" s="57"/>
      <c r="E753" s="58"/>
      <c r="F753" s="59"/>
      <c r="G753" s="10"/>
      <c r="H753" s="55"/>
      <c r="I753" s="28"/>
      <c r="J753" s="28" t="s">
        <v>646</v>
      </c>
    </row>
    <row r="754" ht="22.5" customHeight="1">
      <c r="A754" s="9"/>
      <c r="B754" s="56"/>
      <c r="C754" s="13" t="str">
        <f>IFERROR(__xludf.DUMMYFUNCTION("IF(B754="""","""",LOWER(REGEXREPLACE(B754,""[^A-Za-z0-9]"",""""))&amp;""-""&amp;TEXT(COUNTIF($B$2:B754,B754),""000""))"),"")</f>
        <v/>
      </c>
      <c r="D754" s="57"/>
      <c r="E754" s="58"/>
      <c r="F754" s="59"/>
      <c r="G754" s="10"/>
      <c r="H754" s="55"/>
      <c r="I754" s="28"/>
      <c r="J754" s="28" t="s">
        <v>646</v>
      </c>
    </row>
    <row r="755" ht="22.5" customHeight="1">
      <c r="A755" s="9"/>
      <c r="B755" s="56"/>
      <c r="C755" s="13" t="str">
        <f>IFERROR(__xludf.DUMMYFUNCTION("IF(B755="""","""",LOWER(REGEXREPLACE(B755,""[^A-Za-z0-9]"",""""))&amp;""-""&amp;TEXT(COUNTIF($B$2:B755,B755),""000""))"),"")</f>
        <v/>
      </c>
      <c r="D755" s="57"/>
      <c r="E755" s="58"/>
      <c r="F755" s="59"/>
      <c r="G755" s="10"/>
      <c r="H755" s="55"/>
      <c r="I755" s="28"/>
      <c r="J755" s="28" t="s">
        <v>646</v>
      </c>
    </row>
    <row r="756" ht="22.5" customHeight="1">
      <c r="A756" s="9"/>
      <c r="B756" s="56"/>
      <c r="C756" s="13" t="str">
        <f>IFERROR(__xludf.DUMMYFUNCTION("IF(B756="""","""",LOWER(REGEXREPLACE(B756,""[^A-Za-z0-9]"",""""))&amp;""-""&amp;TEXT(COUNTIF($B$2:B756,B756),""000""))"),"")</f>
        <v/>
      </c>
      <c r="D756" s="57"/>
      <c r="E756" s="58"/>
      <c r="F756" s="59"/>
      <c r="G756" s="10"/>
      <c r="H756" s="55"/>
      <c r="I756" s="28"/>
      <c r="J756" s="28" t="s">
        <v>646</v>
      </c>
    </row>
    <row r="757" ht="22.5" customHeight="1">
      <c r="A757" s="9"/>
      <c r="B757" s="56"/>
      <c r="C757" s="13" t="str">
        <f>IFERROR(__xludf.DUMMYFUNCTION("IF(B757="""","""",LOWER(REGEXREPLACE(B757,""[^A-Za-z0-9]"",""""))&amp;""-""&amp;TEXT(COUNTIF($B$2:B757,B757),""000""))"),"")</f>
        <v/>
      </c>
      <c r="D757" s="57"/>
      <c r="E757" s="58"/>
      <c r="F757" s="59"/>
      <c r="G757" s="10"/>
      <c r="H757" s="55"/>
      <c r="I757" s="28"/>
      <c r="J757" s="28" t="s">
        <v>646</v>
      </c>
    </row>
    <row r="758" ht="22.5" customHeight="1">
      <c r="A758" s="9"/>
      <c r="B758" s="56"/>
      <c r="C758" s="13" t="str">
        <f>IFERROR(__xludf.DUMMYFUNCTION("IF(B758="""","""",LOWER(REGEXREPLACE(B758,""[^A-Za-z0-9]"",""""))&amp;""-""&amp;TEXT(COUNTIF($B$2:B758,B758),""000""))"),"")</f>
        <v/>
      </c>
      <c r="D758" s="57"/>
      <c r="E758" s="58"/>
      <c r="F758" s="59"/>
      <c r="G758" s="10"/>
      <c r="H758" s="55"/>
      <c r="I758" s="28"/>
      <c r="J758" s="28" t="s">
        <v>646</v>
      </c>
    </row>
    <row r="759" ht="22.5" customHeight="1">
      <c r="A759" s="9"/>
      <c r="B759" s="56"/>
      <c r="C759" s="13" t="str">
        <f>IFERROR(__xludf.DUMMYFUNCTION("IF(B759="""","""",LOWER(REGEXREPLACE(B759,""[^A-Za-z0-9]"",""""))&amp;""-""&amp;TEXT(COUNTIF($B$2:B759,B759),""000""))"),"")</f>
        <v/>
      </c>
      <c r="D759" s="57"/>
      <c r="E759" s="58"/>
      <c r="F759" s="59"/>
      <c r="G759" s="10"/>
      <c r="H759" s="55"/>
      <c r="I759" s="28"/>
      <c r="J759" s="28" t="s">
        <v>646</v>
      </c>
    </row>
    <row r="760" ht="22.5" customHeight="1">
      <c r="A760" s="9"/>
      <c r="B760" s="56"/>
      <c r="C760" s="13" t="str">
        <f>IFERROR(__xludf.DUMMYFUNCTION("IF(B760="""","""",LOWER(REGEXREPLACE(B760,""[^A-Za-z0-9]"",""""))&amp;""-""&amp;TEXT(COUNTIF($B$2:B760,B760),""000""))"),"")</f>
        <v/>
      </c>
      <c r="D760" s="57"/>
      <c r="E760" s="58"/>
      <c r="F760" s="59"/>
      <c r="G760" s="10"/>
      <c r="H760" s="55"/>
      <c r="I760" s="28"/>
      <c r="J760" s="28" t="s">
        <v>646</v>
      </c>
    </row>
    <row r="761" ht="22.5" customHeight="1">
      <c r="A761" s="9"/>
      <c r="B761" s="56"/>
      <c r="C761" s="13" t="str">
        <f>IFERROR(__xludf.DUMMYFUNCTION("IF(B761="""","""",LOWER(REGEXREPLACE(B761,""[^A-Za-z0-9]"",""""))&amp;""-""&amp;TEXT(COUNTIF($B$2:B761,B761),""000""))"),"")</f>
        <v/>
      </c>
      <c r="D761" s="57"/>
      <c r="E761" s="58"/>
      <c r="F761" s="59"/>
      <c r="G761" s="10"/>
      <c r="H761" s="55"/>
      <c r="I761" s="28"/>
      <c r="J761" s="28" t="s">
        <v>646</v>
      </c>
    </row>
    <row r="762" ht="22.5" customHeight="1">
      <c r="A762" s="9"/>
      <c r="B762" s="56"/>
      <c r="C762" s="13" t="str">
        <f>IFERROR(__xludf.DUMMYFUNCTION("IF(B762="""","""",LOWER(REGEXREPLACE(B762,""[^A-Za-z0-9]"",""""))&amp;""-""&amp;TEXT(COUNTIF($B$2:B762,B762),""000""))"),"")</f>
        <v/>
      </c>
      <c r="D762" s="57"/>
      <c r="E762" s="58"/>
      <c r="F762" s="59"/>
      <c r="G762" s="10"/>
      <c r="H762" s="55"/>
      <c r="I762" s="28"/>
      <c r="J762" s="28" t="s">
        <v>646</v>
      </c>
    </row>
    <row r="763" ht="22.5" customHeight="1">
      <c r="A763" s="9"/>
      <c r="B763" s="56"/>
      <c r="C763" s="13" t="str">
        <f>IFERROR(__xludf.DUMMYFUNCTION("IF(B763="""","""",LOWER(REGEXREPLACE(B763,""[^A-Za-z0-9]"",""""))&amp;""-""&amp;TEXT(COUNTIF($B$2:B763,B763),""000""))"),"")</f>
        <v/>
      </c>
      <c r="D763" s="57"/>
      <c r="E763" s="58"/>
      <c r="F763" s="59"/>
      <c r="G763" s="10"/>
      <c r="H763" s="55"/>
      <c r="I763" s="28"/>
      <c r="J763" s="28" t="s">
        <v>646</v>
      </c>
    </row>
    <row r="764" ht="22.5" customHeight="1">
      <c r="A764" s="9"/>
      <c r="B764" s="56"/>
      <c r="C764" s="13" t="str">
        <f>IFERROR(__xludf.DUMMYFUNCTION("IF(B764="""","""",LOWER(REGEXREPLACE(B764,""[^A-Za-z0-9]"",""""))&amp;""-""&amp;TEXT(COUNTIF($B$2:B764,B764),""000""))"),"")</f>
        <v/>
      </c>
      <c r="D764" s="57"/>
      <c r="E764" s="58"/>
      <c r="F764" s="59"/>
      <c r="G764" s="10"/>
      <c r="H764" s="55"/>
      <c r="I764" s="28"/>
      <c r="J764" s="28" t="s">
        <v>646</v>
      </c>
    </row>
    <row r="765" ht="22.5" customHeight="1">
      <c r="A765" s="9"/>
      <c r="B765" s="56"/>
      <c r="C765" s="13" t="str">
        <f>IFERROR(__xludf.DUMMYFUNCTION("IF(B765="""","""",LOWER(REGEXREPLACE(B765,""[^A-Za-z0-9]"",""""))&amp;""-""&amp;TEXT(COUNTIF($B$2:B765,B765),""000""))"),"")</f>
        <v/>
      </c>
      <c r="D765" s="57"/>
      <c r="E765" s="58"/>
      <c r="F765" s="59"/>
      <c r="G765" s="10"/>
      <c r="H765" s="55"/>
      <c r="I765" s="28"/>
      <c r="J765" s="28" t="s">
        <v>646</v>
      </c>
    </row>
    <row r="766" ht="22.5" customHeight="1">
      <c r="A766" s="9"/>
      <c r="B766" s="56"/>
      <c r="C766" s="13" t="str">
        <f>IFERROR(__xludf.DUMMYFUNCTION("IF(B766="""","""",LOWER(REGEXREPLACE(B766,""[^A-Za-z0-9]"",""""))&amp;""-""&amp;TEXT(COUNTIF($B$2:B766,B766),""000""))"),"")</f>
        <v/>
      </c>
      <c r="D766" s="57"/>
      <c r="E766" s="58"/>
      <c r="F766" s="59"/>
      <c r="G766" s="10"/>
      <c r="H766" s="55"/>
      <c r="I766" s="28"/>
      <c r="J766" s="28" t="s">
        <v>646</v>
      </c>
    </row>
    <row r="767" ht="22.5" customHeight="1">
      <c r="A767" s="9"/>
      <c r="B767" s="56"/>
      <c r="C767" s="13" t="str">
        <f>IFERROR(__xludf.DUMMYFUNCTION("IF(B767="""","""",LOWER(REGEXREPLACE(B767,""[^A-Za-z0-9]"",""""))&amp;""-""&amp;TEXT(COUNTIF($B$2:B767,B767),""000""))"),"")</f>
        <v/>
      </c>
      <c r="D767" s="57"/>
      <c r="E767" s="58"/>
      <c r="F767" s="59"/>
      <c r="G767" s="10"/>
      <c r="H767" s="55"/>
      <c r="I767" s="28"/>
      <c r="J767" s="28" t="s">
        <v>646</v>
      </c>
    </row>
    <row r="768" ht="22.5" customHeight="1">
      <c r="A768" s="9"/>
      <c r="B768" s="56"/>
      <c r="C768" s="13" t="str">
        <f>IFERROR(__xludf.DUMMYFUNCTION("IF(B768="""","""",LOWER(REGEXREPLACE(B768,""[^A-Za-z0-9]"",""""))&amp;""-""&amp;TEXT(COUNTIF($B$2:B768,B768),""000""))"),"")</f>
        <v/>
      </c>
      <c r="D768" s="57"/>
      <c r="E768" s="58"/>
      <c r="F768" s="59"/>
      <c r="G768" s="10"/>
      <c r="H768" s="55"/>
      <c r="I768" s="28"/>
      <c r="J768" s="28" t="s">
        <v>646</v>
      </c>
    </row>
    <row r="769" ht="22.5" customHeight="1">
      <c r="A769" s="9"/>
      <c r="B769" s="56"/>
      <c r="C769" s="13" t="str">
        <f>IFERROR(__xludf.DUMMYFUNCTION("IF(B769="""","""",LOWER(REGEXREPLACE(B769,""[^A-Za-z0-9]"",""""))&amp;""-""&amp;TEXT(COUNTIF($B$2:B769,B769),""000""))"),"")</f>
        <v/>
      </c>
      <c r="D769" s="57"/>
      <c r="E769" s="58"/>
      <c r="F769" s="59"/>
      <c r="G769" s="10"/>
      <c r="H769" s="55"/>
      <c r="I769" s="28"/>
      <c r="J769" s="28" t="s">
        <v>646</v>
      </c>
    </row>
    <row r="770" ht="22.5" customHeight="1">
      <c r="A770" s="9"/>
      <c r="B770" s="56"/>
      <c r="C770" s="13" t="str">
        <f>IFERROR(__xludf.DUMMYFUNCTION("IF(B770="""","""",LOWER(REGEXREPLACE(B770,""[^A-Za-z0-9]"",""""))&amp;""-""&amp;TEXT(COUNTIF($B$2:B770,B770),""000""))"),"")</f>
        <v/>
      </c>
      <c r="D770" s="57"/>
      <c r="E770" s="58"/>
      <c r="F770" s="59"/>
      <c r="G770" s="10"/>
      <c r="H770" s="55"/>
      <c r="I770" s="28"/>
      <c r="J770" s="28" t="s">
        <v>646</v>
      </c>
    </row>
    <row r="771" ht="22.5" customHeight="1">
      <c r="A771" s="9"/>
      <c r="B771" s="56"/>
      <c r="C771" s="13" t="str">
        <f>IFERROR(__xludf.DUMMYFUNCTION("IF(B771="""","""",LOWER(REGEXREPLACE(B771,""[^A-Za-z0-9]"",""""))&amp;""-""&amp;TEXT(COUNTIF($B$2:B771,B771),""000""))"),"")</f>
        <v/>
      </c>
      <c r="D771" s="57"/>
      <c r="E771" s="58"/>
      <c r="F771" s="59"/>
      <c r="G771" s="10"/>
      <c r="H771" s="55"/>
      <c r="I771" s="28"/>
      <c r="J771" s="28" t="s">
        <v>646</v>
      </c>
    </row>
    <row r="772" ht="22.5" customHeight="1">
      <c r="A772" s="9"/>
      <c r="B772" s="56"/>
      <c r="C772" s="13" t="str">
        <f>IFERROR(__xludf.DUMMYFUNCTION("IF(B772="""","""",LOWER(REGEXREPLACE(B772,""[^A-Za-z0-9]"",""""))&amp;""-""&amp;TEXT(COUNTIF($B$2:B772,B772),""000""))"),"")</f>
        <v/>
      </c>
      <c r="D772" s="57"/>
      <c r="E772" s="58"/>
      <c r="F772" s="59"/>
      <c r="G772" s="10"/>
      <c r="H772" s="55"/>
      <c r="I772" s="28"/>
      <c r="J772" s="28" t="s">
        <v>646</v>
      </c>
    </row>
    <row r="773" ht="22.5" customHeight="1">
      <c r="A773" s="9"/>
      <c r="B773" s="56"/>
      <c r="C773" s="13" t="str">
        <f>IFERROR(__xludf.DUMMYFUNCTION("IF(B773="""","""",LOWER(REGEXREPLACE(B773,""[^A-Za-z0-9]"",""""))&amp;""-""&amp;TEXT(COUNTIF($B$2:B773,B773),""000""))"),"")</f>
        <v/>
      </c>
      <c r="D773" s="57"/>
      <c r="E773" s="58"/>
      <c r="F773" s="59"/>
      <c r="G773" s="10"/>
      <c r="H773" s="55"/>
      <c r="I773" s="28"/>
      <c r="J773" s="28" t="s">
        <v>646</v>
      </c>
    </row>
    <row r="774" ht="22.5" customHeight="1">
      <c r="A774" s="9"/>
      <c r="B774" s="56"/>
      <c r="C774" s="13" t="str">
        <f>IFERROR(__xludf.DUMMYFUNCTION("IF(B774="""","""",LOWER(REGEXREPLACE(B774,""[^A-Za-z0-9]"",""""))&amp;""-""&amp;TEXT(COUNTIF($B$2:B774,B774),""000""))"),"")</f>
        <v/>
      </c>
      <c r="D774" s="57"/>
      <c r="E774" s="58"/>
      <c r="F774" s="59"/>
      <c r="G774" s="10"/>
      <c r="H774" s="55"/>
      <c r="I774" s="28"/>
      <c r="J774" s="28" t="s">
        <v>646</v>
      </c>
    </row>
    <row r="775" ht="22.5" customHeight="1">
      <c r="A775" s="9"/>
      <c r="B775" s="56"/>
      <c r="C775" s="13" t="str">
        <f>IFERROR(__xludf.DUMMYFUNCTION("IF(B775="""","""",LOWER(REGEXREPLACE(B775,""[^A-Za-z0-9]"",""""))&amp;""-""&amp;TEXT(COUNTIF($B$2:B775,B775),""000""))"),"")</f>
        <v/>
      </c>
      <c r="D775" s="57"/>
      <c r="E775" s="58"/>
      <c r="F775" s="59"/>
      <c r="G775" s="10"/>
      <c r="H775" s="55"/>
      <c r="I775" s="28"/>
      <c r="J775" s="28" t="s">
        <v>646</v>
      </c>
    </row>
    <row r="776" ht="22.5" customHeight="1">
      <c r="A776" s="9"/>
      <c r="B776" s="56"/>
      <c r="C776" s="13" t="str">
        <f>IFERROR(__xludf.DUMMYFUNCTION("IF(B776="""","""",LOWER(REGEXREPLACE(B776,""[^A-Za-z0-9]"",""""))&amp;""-""&amp;TEXT(COUNTIF($B$2:B776,B776),""000""))"),"")</f>
        <v/>
      </c>
      <c r="D776" s="57"/>
      <c r="E776" s="58"/>
      <c r="F776" s="59"/>
      <c r="G776" s="10"/>
      <c r="H776" s="55"/>
      <c r="I776" s="28"/>
      <c r="J776" s="28" t="s">
        <v>646</v>
      </c>
    </row>
    <row r="777" ht="22.5" customHeight="1">
      <c r="A777" s="9"/>
      <c r="B777" s="56"/>
      <c r="C777" s="13" t="str">
        <f>IFERROR(__xludf.DUMMYFUNCTION("IF(B777="""","""",LOWER(REGEXREPLACE(B777,""[^A-Za-z0-9]"",""""))&amp;""-""&amp;TEXT(COUNTIF($B$2:B777,B777),""000""))"),"")</f>
        <v/>
      </c>
      <c r="D777" s="57"/>
      <c r="E777" s="58"/>
      <c r="F777" s="59"/>
      <c r="G777" s="10"/>
      <c r="H777" s="55"/>
      <c r="I777" s="28"/>
      <c r="J777" s="28" t="s">
        <v>646</v>
      </c>
    </row>
    <row r="778" ht="22.5" customHeight="1">
      <c r="A778" s="9"/>
      <c r="B778" s="56"/>
      <c r="C778" s="13" t="str">
        <f>IFERROR(__xludf.DUMMYFUNCTION("IF(B778="""","""",LOWER(REGEXREPLACE(B778,""[^A-Za-z0-9]"",""""))&amp;""-""&amp;TEXT(COUNTIF($B$2:B778,B778),""000""))"),"")</f>
        <v/>
      </c>
      <c r="D778" s="57"/>
      <c r="E778" s="58"/>
      <c r="F778" s="59"/>
      <c r="G778" s="10"/>
      <c r="H778" s="55"/>
      <c r="I778" s="28"/>
      <c r="J778" s="28" t="s">
        <v>646</v>
      </c>
    </row>
    <row r="779" ht="22.5" customHeight="1">
      <c r="A779" s="9"/>
      <c r="B779" s="56"/>
      <c r="C779" s="13" t="str">
        <f>IFERROR(__xludf.DUMMYFUNCTION("IF(B779="""","""",LOWER(REGEXREPLACE(B779,""[^A-Za-z0-9]"",""""))&amp;""-""&amp;TEXT(COUNTIF($B$2:B779,B779),""000""))"),"")</f>
        <v/>
      </c>
      <c r="D779" s="57"/>
      <c r="E779" s="58"/>
      <c r="F779" s="59"/>
      <c r="G779" s="10"/>
      <c r="H779" s="55"/>
      <c r="I779" s="28"/>
      <c r="J779" s="28" t="s">
        <v>646</v>
      </c>
    </row>
    <row r="780" ht="22.5" customHeight="1">
      <c r="A780" s="9"/>
      <c r="B780" s="56"/>
      <c r="C780" s="13" t="str">
        <f>IFERROR(__xludf.DUMMYFUNCTION("IF(B780="""","""",LOWER(REGEXREPLACE(B780,""[^A-Za-z0-9]"",""""))&amp;""-""&amp;TEXT(COUNTIF($B$2:B780,B780),""000""))"),"")</f>
        <v/>
      </c>
      <c r="D780" s="57"/>
      <c r="E780" s="58"/>
      <c r="F780" s="59"/>
      <c r="G780" s="10"/>
      <c r="H780" s="55"/>
      <c r="I780" s="28"/>
      <c r="J780" s="28" t="s">
        <v>646</v>
      </c>
    </row>
    <row r="781" ht="22.5" customHeight="1">
      <c r="A781" s="9"/>
      <c r="B781" s="56"/>
      <c r="C781" s="13" t="str">
        <f>IFERROR(__xludf.DUMMYFUNCTION("IF(B781="""","""",LOWER(REGEXREPLACE(B781,""[^A-Za-z0-9]"",""""))&amp;""-""&amp;TEXT(COUNTIF($B$2:B781,B781),""000""))"),"")</f>
        <v/>
      </c>
      <c r="D781" s="57"/>
      <c r="E781" s="58"/>
      <c r="F781" s="59"/>
      <c r="G781" s="10"/>
      <c r="H781" s="55"/>
      <c r="I781" s="28"/>
      <c r="J781" s="28" t="s">
        <v>646</v>
      </c>
    </row>
    <row r="782" ht="22.5" customHeight="1">
      <c r="A782" s="9"/>
      <c r="B782" s="56"/>
      <c r="C782" s="13" t="str">
        <f>IFERROR(__xludf.DUMMYFUNCTION("IF(B782="""","""",LOWER(REGEXREPLACE(B782,""[^A-Za-z0-9]"",""""))&amp;""-""&amp;TEXT(COUNTIF($B$2:B782,B782),""000""))"),"")</f>
        <v/>
      </c>
      <c r="D782" s="57"/>
      <c r="E782" s="58"/>
      <c r="F782" s="59"/>
      <c r="G782" s="10"/>
      <c r="H782" s="55"/>
      <c r="I782" s="28"/>
      <c r="J782" s="28" t="s">
        <v>646</v>
      </c>
    </row>
    <row r="783" ht="22.5" customHeight="1">
      <c r="A783" s="9"/>
      <c r="B783" s="56"/>
      <c r="C783" s="13" t="str">
        <f>IFERROR(__xludf.DUMMYFUNCTION("IF(B783="""","""",LOWER(REGEXREPLACE(B783,""[^A-Za-z0-9]"",""""))&amp;""-""&amp;TEXT(COUNTIF($B$2:B783,B783),""000""))"),"")</f>
        <v/>
      </c>
      <c r="D783" s="57"/>
      <c r="E783" s="58"/>
      <c r="F783" s="59"/>
      <c r="G783" s="10"/>
      <c r="H783" s="55"/>
      <c r="I783" s="28"/>
      <c r="J783" s="28" t="s">
        <v>646</v>
      </c>
    </row>
    <row r="784" ht="22.5" customHeight="1">
      <c r="A784" s="9"/>
      <c r="B784" s="56"/>
      <c r="C784" s="13" t="str">
        <f>IFERROR(__xludf.DUMMYFUNCTION("IF(B784="""","""",LOWER(REGEXREPLACE(B784,""[^A-Za-z0-9]"",""""))&amp;""-""&amp;TEXT(COUNTIF($B$2:B784,B784),""000""))"),"")</f>
        <v/>
      </c>
      <c r="D784" s="57"/>
      <c r="E784" s="58"/>
      <c r="F784" s="59"/>
      <c r="G784" s="10"/>
      <c r="H784" s="55"/>
      <c r="I784" s="28"/>
      <c r="J784" s="28" t="s">
        <v>646</v>
      </c>
    </row>
    <row r="785" ht="22.5" customHeight="1">
      <c r="A785" s="9"/>
      <c r="B785" s="56"/>
      <c r="C785" s="13" t="str">
        <f>IFERROR(__xludf.DUMMYFUNCTION("IF(B785="""","""",LOWER(REGEXREPLACE(B785,""[^A-Za-z0-9]"",""""))&amp;""-""&amp;TEXT(COUNTIF($B$2:B785,B785),""000""))"),"")</f>
        <v/>
      </c>
      <c r="D785" s="57"/>
      <c r="E785" s="58"/>
      <c r="F785" s="59"/>
      <c r="G785" s="10"/>
      <c r="H785" s="55"/>
      <c r="I785" s="28"/>
      <c r="J785" s="28" t="s">
        <v>646</v>
      </c>
    </row>
    <row r="786" ht="22.5" customHeight="1">
      <c r="A786" s="9"/>
      <c r="B786" s="56"/>
      <c r="C786" s="13" t="str">
        <f>IFERROR(__xludf.DUMMYFUNCTION("IF(B786="""","""",LOWER(REGEXREPLACE(B786,""[^A-Za-z0-9]"",""""))&amp;""-""&amp;TEXT(COUNTIF($B$2:B786,B786),""000""))"),"")</f>
        <v/>
      </c>
      <c r="D786" s="57"/>
      <c r="E786" s="58"/>
      <c r="F786" s="59"/>
      <c r="G786" s="10"/>
      <c r="H786" s="55"/>
      <c r="I786" s="28"/>
      <c r="J786" s="28" t="s">
        <v>646</v>
      </c>
    </row>
    <row r="787" ht="22.5" customHeight="1">
      <c r="A787" s="9"/>
      <c r="B787" s="56"/>
      <c r="C787" s="13" t="str">
        <f>IFERROR(__xludf.DUMMYFUNCTION("IF(B787="""","""",LOWER(REGEXREPLACE(B787,""[^A-Za-z0-9]"",""""))&amp;""-""&amp;TEXT(COUNTIF($B$2:B787,B787),""000""))"),"")</f>
        <v/>
      </c>
      <c r="D787" s="57"/>
      <c r="E787" s="58"/>
      <c r="F787" s="59"/>
      <c r="G787" s="10"/>
      <c r="H787" s="55"/>
      <c r="I787" s="28"/>
      <c r="J787" s="28" t="s">
        <v>646</v>
      </c>
    </row>
    <row r="788" ht="22.5" customHeight="1">
      <c r="A788" s="9"/>
      <c r="B788" s="56"/>
      <c r="C788" s="13" t="str">
        <f>IFERROR(__xludf.DUMMYFUNCTION("IF(B788="""","""",LOWER(REGEXREPLACE(B788,""[^A-Za-z0-9]"",""""))&amp;""-""&amp;TEXT(COUNTIF($B$2:B788,B788),""000""))"),"")</f>
        <v/>
      </c>
      <c r="D788" s="57"/>
      <c r="E788" s="58"/>
      <c r="F788" s="59"/>
      <c r="G788" s="10"/>
      <c r="H788" s="55"/>
      <c r="I788" s="28"/>
      <c r="J788" s="28" t="s">
        <v>646</v>
      </c>
    </row>
    <row r="789" ht="22.5" customHeight="1">
      <c r="A789" s="9"/>
      <c r="B789" s="56"/>
      <c r="C789" s="13" t="str">
        <f>IFERROR(__xludf.DUMMYFUNCTION("IF(B789="""","""",LOWER(REGEXREPLACE(B789,""[^A-Za-z0-9]"",""""))&amp;""-""&amp;TEXT(COUNTIF($B$2:B789,B789),""000""))"),"")</f>
        <v/>
      </c>
      <c r="D789" s="57"/>
      <c r="E789" s="58"/>
      <c r="F789" s="59"/>
      <c r="G789" s="10"/>
      <c r="H789" s="55"/>
      <c r="I789" s="28"/>
      <c r="J789" s="28" t="s">
        <v>646</v>
      </c>
    </row>
    <row r="790" ht="22.5" customHeight="1">
      <c r="A790" s="9"/>
      <c r="B790" s="56"/>
      <c r="C790" s="13" t="str">
        <f>IFERROR(__xludf.DUMMYFUNCTION("IF(B790="""","""",LOWER(REGEXREPLACE(B790,""[^A-Za-z0-9]"",""""))&amp;""-""&amp;TEXT(COUNTIF($B$2:B790,B790),""000""))"),"")</f>
        <v/>
      </c>
      <c r="D790" s="57"/>
      <c r="E790" s="58"/>
      <c r="F790" s="59"/>
      <c r="G790" s="10"/>
      <c r="H790" s="55"/>
      <c r="I790" s="28"/>
      <c r="J790" s="28" t="s">
        <v>646</v>
      </c>
    </row>
    <row r="791" ht="22.5" customHeight="1">
      <c r="A791" s="9"/>
      <c r="B791" s="56"/>
      <c r="C791" s="13" t="str">
        <f>IFERROR(__xludf.DUMMYFUNCTION("IF(B791="""","""",LOWER(REGEXREPLACE(B791,""[^A-Za-z0-9]"",""""))&amp;""-""&amp;TEXT(COUNTIF($B$2:B791,B791),""000""))"),"")</f>
        <v/>
      </c>
      <c r="D791" s="57"/>
      <c r="E791" s="58"/>
      <c r="F791" s="59"/>
      <c r="G791" s="10"/>
      <c r="H791" s="55"/>
      <c r="I791" s="28"/>
      <c r="J791" s="28" t="s">
        <v>646</v>
      </c>
    </row>
    <row r="792" ht="22.5" customHeight="1">
      <c r="A792" s="9"/>
      <c r="B792" s="56"/>
      <c r="C792" s="13" t="str">
        <f>IFERROR(__xludf.DUMMYFUNCTION("IF(B792="""","""",LOWER(REGEXREPLACE(B792,""[^A-Za-z0-9]"",""""))&amp;""-""&amp;TEXT(COUNTIF($B$2:B792,B792),""000""))"),"")</f>
        <v/>
      </c>
      <c r="D792" s="57"/>
      <c r="E792" s="58"/>
      <c r="F792" s="59"/>
      <c r="G792" s="10"/>
      <c r="H792" s="55"/>
      <c r="I792" s="28"/>
      <c r="J792" s="28" t="s">
        <v>646</v>
      </c>
    </row>
    <row r="793" ht="22.5" customHeight="1">
      <c r="A793" s="9"/>
      <c r="B793" s="56"/>
      <c r="C793" s="13" t="str">
        <f>IFERROR(__xludf.DUMMYFUNCTION("IF(B793="""","""",LOWER(REGEXREPLACE(B793,""[^A-Za-z0-9]"",""""))&amp;""-""&amp;TEXT(COUNTIF($B$2:B793,B793),""000""))"),"")</f>
        <v/>
      </c>
      <c r="D793" s="57"/>
      <c r="E793" s="58"/>
      <c r="F793" s="59"/>
      <c r="G793" s="10"/>
      <c r="H793" s="55"/>
      <c r="I793" s="28"/>
      <c r="J793" s="28" t="s">
        <v>646</v>
      </c>
    </row>
    <row r="794" ht="22.5" customHeight="1">
      <c r="A794" s="9"/>
      <c r="B794" s="56"/>
      <c r="C794" s="13" t="str">
        <f>IFERROR(__xludf.DUMMYFUNCTION("IF(B794="""","""",LOWER(REGEXREPLACE(B794,""[^A-Za-z0-9]"",""""))&amp;""-""&amp;TEXT(COUNTIF($B$2:B794,B794),""000""))"),"")</f>
        <v/>
      </c>
      <c r="D794" s="57"/>
      <c r="E794" s="58"/>
      <c r="F794" s="59"/>
      <c r="G794" s="10"/>
      <c r="H794" s="55"/>
      <c r="I794" s="28"/>
      <c r="J794" s="28" t="s">
        <v>646</v>
      </c>
    </row>
    <row r="795" ht="22.5" customHeight="1">
      <c r="A795" s="9"/>
      <c r="B795" s="56"/>
      <c r="C795" s="13" t="str">
        <f>IFERROR(__xludf.DUMMYFUNCTION("IF(B795="""","""",LOWER(REGEXREPLACE(B795,""[^A-Za-z0-9]"",""""))&amp;""-""&amp;TEXT(COUNTIF($B$2:B795,B795),""000""))"),"")</f>
        <v/>
      </c>
      <c r="D795" s="57"/>
      <c r="E795" s="58"/>
      <c r="F795" s="59"/>
      <c r="G795" s="10"/>
      <c r="H795" s="55"/>
      <c r="I795" s="28"/>
      <c r="J795" s="28" t="s">
        <v>646</v>
      </c>
    </row>
    <row r="796" ht="22.5" customHeight="1">
      <c r="A796" s="9"/>
      <c r="B796" s="56"/>
      <c r="C796" s="13" t="str">
        <f>IFERROR(__xludf.DUMMYFUNCTION("IF(B796="""","""",LOWER(REGEXREPLACE(B796,""[^A-Za-z0-9]"",""""))&amp;""-""&amp;TEXT(COUNTIF($B$2:B796,B796),""000""))"),"")</f>
        <v/>
      </c>
      <c r="D796" s="57"/>
      <c r="E796" s="58"/>
      <c r="F796" s="59"/>
      <c r="G796" s="10"/>
      <c r="H796" s="55"/>
      <c r="I796" s="28"/>
      <c r="J796" s="28" t="s">
        <v>646</v>
      </c>
    </row>
    <row r="797" ht="22.5" customHeight="1">
      <c r="A797" s="9"/>
      <c r="B797" s="56"/>
      <c r="C797" s="13" t="str">
        <f>IFERROR(__xludf.DUMMYFUNCTION("IF(B797="""","""",LOWER(REGEXREPLACE(B797,""[^A-Za-z0-9]"",""""))&amp;""-""&amp;TEXT(COUNTIF($B$2:B797,B797),""000""))"),"")</f>
        <v/>
      </c>
      <c r="D797" s="57"/>
      <c r="E797" s="58"/>
      <c r="F797" s="59"/>
      <c r="G797" s="10"/>
      <c r="H797" s="55"/>
      <c r="I797" s="28"/>
      <c r="J797" s="28" t="s">
        <v>646</v>
      </c>
    </row>
    <row r="798" ht="22.5" customHeight="1">
      <c r="A798" s="9"/>
      <c r="B798" s="56"/>
      <c r="C798" s="13" t="str">
        <f>IFERROR(__xludf.DUMMYFUNCTION("IF(B798="""","""",LOWER(REGEXREPLACE(B798,""[^A-Za-z0-9]"",""""))&amp;""-""&amp;TEXT(COUNTIF($B$2:B798,B798),""000""))"),"")</f>
        <v/>
      </c>
      <c r="D798" s="57"/>
      <c r="E798" s="58"/>
      <c r="F798" s="59"/>
      <c r="G798" s="10"/>
      <c r="H798" s="55"/>
      <c r="I798" s="28"/>
      <c r="J798" s="28" t="s">
        <v>646</v>
      </c>
    </row>
    <row r="799" ht="22.5" customHeight="1">
      <c r="A799" s="9"/>
      <c r="B799" s="56"/>
      <c r="C799" s="13" t="str">
        <f>IFERROR(__xludf.DUMMYFUNCTION("IF(B799="""","""",LOWER(REGEXREPLACE(B799,""[^A-Za-z0-9]"",""""))&amp;""-""&amp;TEXT(COUNTIF($B$2:B799,B799),""000""))"),"")</f>
        <v/>
      </c>
      <c r="D799" s="57"/>
      <c r="E799" s="58"/>
      <c r="F799" s="59"/>
      <c r="G799" s="10"/>
      <c r="H799" s="55"/>
      <c r="I799" s="28"/>
      <c r="J799" s="28" t="s">
        <v>646</v>
      </c>
    </row>
    <row r="800" ht="22.5" customHeight="1">
      <c r="A800" s="9"/>
      <c r="B800" s="56"/>
      <c r="C800" s="13" t="str">
        <f>IFERROR(__xludf.DUMMYFUNCTION("IF(B800="""","""",LOWER(REGEXREPLACE(B800,""[^A-Za-z0-9]"",""""))&amp;""-""&amp;TEXT(COUNTIF($B$2:B800,B800),""000""))"),"")</f>
        <v/>
      </c>
      <c r="D800" s="57"/>
      <c r="E800" s="58"/>
      <c r="F800" s="59"/>
      <c r="G800" s="10"/>
      <c r="H800" s="55"/>
      <c r="I800" s="28"/>
      <c r="J800" s="28" t="s">
        <v>646</v>
      </c>
    </row>
    <row r="801" ht="22.5" customHeight="1">
      <c r="A801" s="9"/>
      <c r="B801" s="56"/>
      <c r="C801" s="13" t="str">
        <f>IFERROR(__xludf.DUMMYFUNCTION("IF(B801="""","""",LOWER(REGEXREPLACE(B801,""[^A-Za-z0-9]"",""""))&amp;""-""&amp;TEXT(COUNTIF($B$2:B801,B801),""000""))"),"")</f>
        <v/>
      </c>
      <c r="D801" s="57"/>
      <c r="E801" s="58"/>
      <c r="F801" s="59"/>
      <c r="G801" s="10"/>
      <c r="H801" s="55"/>
      <c r="I801" s="28"/>
      <c r="J801" s="28" t="s">
        <v>646</v>
      </c>
    </row>
    <row r="802" ht="22.5" customHeight="1">
      <c r="A802" s="9"/>
      <c r="B802" s="56"/>
      <c r="C802" s="13" t="str">
        <f>IFERROR(__xludf.DUMMYFUNCTION("IF(B802="""","""",LOWER(REGEXREPLACE(B802,""[^A-Za-z0-9]"",""""))&amp;""-""&amp;TEXT(COUNTIF($B$2:B802,B802),""000""))"),"")</f>
        <v/>
      </c>
      <c r="D802" s="57"/>
      <c r="E802" s="58"/>
      <c r="F802" s="59"/>
      <c r="G802" s="10"/>
      <c r="H802" s="55"/>
      <c r="I802" s="28"/>
      <c r="J802" s="28" t="s">
        <v>646</v>
      </c>
    </row>
    <row r="803" ht="22.5" customHeight="1">
      <c r="A803" s="9"/>
      <c r="B803" s="56"/>
      <c r="C803" s="13" t="str">
        <f>IFERROR(__xludf.DUMMYFUNCTION("IF(B803="""","""",LOWER(REGEXREPLACE(B803,""[^A-Za-z0-9]"",""""))&amp;""-""&amp;TEXT(COUNTIF($B$2:B803,B803),""000""))"),"")</f>
        <v/>
      </c>
      <c r="D803" s="57"/>
      <c r="E803" s="58"/>
      <c r="F803" s="59"/>
      <c r="G803" s="10"/>
      <c r="H803" s="55"/>
      <c r="I803" s="28"/>
      <c r="J803" s="28" t="s">
        <v>646</v>
      </c>
    </row>
    <row r="804" ht="22.5" customHeight="1">
      <c r="A804" s="9"/>
      <c r="B804" s="56"/>
      <c r="C804" s="13" t="str">
        <f>IFERROR(__xludf.DUMMYFUNCTION("IF(B804="""","""",LOWER(REGEXREPLACE(B804,""[^A-Za-z0-9]"",""""))&amp;""-""&amp;TEXT(COUNTIF($B$2:B804,B804),""000""))"),"")</f>
        <v/>
      </c>
      <c r="D804" s="57"/>
      <c r="E804" s="58"/>
      <c r="F804" s="59"/>
      <c r="G804" s="10"/>
      <c r="H804" s="55"/>
      <c r="I804" s="28"/>
      <c r="J804" s="28" t="s">
        <v>646</v>
      </c>
    </row>
    <row r="805" ht="22.5" customHeight="1">
      <c r="A805" s="9"/>
      <c r="B805" s="56"/>
      <c r="C805" s="13" t="str">
        <f>IFERROR(__xludf.DUMMYFUNCTION("IF(B805="""","""",LOWER(REGEXREPLACE(B805,""[^A-Za-z0-9]"",""""))&amp;""-""&amp;TEXT(COUNTIF($B$2:B805,B805),""000""))"),"")</f>
        <v/>
      </c>
      <c r="D805" s="57"/>
      <c r="E805" s="58"/>
      <c r="F805" s="59"/>
      <c r="G805" s="10"/>
      <c r="H805" s="55"/>
      <c r="I805" s="28"/>
      <c r="J805" s="28" t="s">
        <v>646</v>
      </c>
    </row>
    <row r="806" ht="22.5" customHeight="1">
      <c r="A806" s="9"/>
      <c r="B806" s="56"/>
      <c r="C806" s="13" t="str">
        <f>IFERROR(__xludf.DUMMYFUNCTION("IF(B806="""","""",LOWER(REGEXREPLACE(B806,""[^A-Za-z0-9]"",""""))&amp;""-""&amp;TEXT(COUNTIF($B$2:B806,B806),""000""))"),"")</f>
        <v/>
      </c>
      <c r="D806" s="57"/>
      <c r="E806" s="58"/>
      <c r="F806" s="59"/>
      <c r="G806" s="10"/>
      <c r="H806" s="55"/>
      <c r="I806" s="28"/>
      <c r="J806" s="28" t="s">
        <v>646</v>
      </c>
    </row>
    <row r="807" ht="22.5" customHeight="1">
      <c r="A807" s="9"/>
      <c r="B807" s="56"/>
      <c r="C807" s="13" t="str">
        <f>IFERROR(__xludf.DUMMYFUNCTION("IF(B807="""","""",LOWER(REGEXREPLACE(B807,""[^A-Za-z0-9]"",""""))&amp;""-""&amp;TEXT(COUNTIF($B$2:B807,B807),""000""))"),"")</f>
        <v/>
      </c>
      <c r="D807" s="57"/>
      <c r="E807" s="58"/>
      <c r="F807" s="59"/>
      <c r="G807" s="10"/>
      <c r="H807" s="55"/>
      <c r="I807" s="28"/>
      <c r="J807" s="28" t="s">
        <v>646</v>
      </c>
    </row>
    <row r="808" ht="22.5" customHeight="1">
      <c r="A808" s="9"/>
      <c r="B808" s="56"/>
      <c r="C808" s="13" t="str">
        <f>IFERROR(__xludf.DUMMYFUNCTION("IF(B808="""","""",LOWER(REGEXREPLACE(B808,""[^A-Za-z0-9]"",""""))&amp;""-""&amp;TEXT(COUNTIF($B$2:B808,B808),""000""))"),"")</f>
        <v/>
      </c>
      <c r="D808" s="57"/>
      <c r="E808" s="58"/>
      <c r="F808" s="59"/>
      <c r="G808" s="10"/>
      <c r="H808" s="55"/>
      <c r="I808" s="28"/>
      <c r="J808" s="28" t="s">
        <v>646</v>
      </c>
    </row>
    <row r="809" ht="22.5" customHeight="1">
      <c r="A809" s="9"/>
      <c r="B809" s="56"/>
      <c r="C809" s="13" t="str">
        <f>IFERROR(__xludf.DUMMYFUNCTION("IF(B809="""","""",LOWER(REGEXREPLACE(B809,""[^A-Za-z0-9]"",""""))&amp;""-""&amp;TEXT(COUNTIF($B$2:B809,B809),""000""))"),"")</f>
        <v/>
      </c>
      <c r="D809" s="57"/>
      <c r="E809" s="58"/>
      <c r="F809" s="59"/>
      <c r="G809" s="10"/>
      <c r="H809" s="55"/>
      <c r="I809" s="28"/>
      <c r="J809" s="28" t="s">
        <v>646</v>
      </c>
    </row>
    <row r="810" ht="22.5" customHeight="1">
      <c r="A810" s="9"/>
      <c r="B810" s="56"/>
      <c r="C810" s="13" t="str">
        <f>IFERROR(__xludf.DUMMYFUNCTION("IF(B810="""","""",LOWER(REGEXREPLACE(B810,""[^A-Za-z0-9]"",""""))&amp;""-""&amp;TEXT(COUNTIF($B$2:B810,B810),""000""))"),"")</f>
        <v/>
      </c>
      <c r="D810" s="57"/>
      <c r="E810" s="58"/>
      <c r="F810" s="59"/>
      <c r="G810" s="10"/>
      <c r="H810" s="55"/>
      <c r="I810" s="28"/>
      <c r="J810" s="28" t="s">
        <v>646</v>
      </c>
    </row>
    <row r="811" ht="22.5" customHeight="1">
      <c r="A811" s="9"/>
      <c r="B811" s="56"/>
      <c r="C811" s="13" t="str">
        <f>IFERROR(__xludf.DUMMYFUNCTION("IF(B811="""","""",LOWER(REGEXREPLACE(B811,""[^A-Za-z0-9]"",""""))&amp;""-""&amp;TEXT(COUNTIF($B$2:B811,B811),""000""))"),"")</f>
        <v/>
      </c>
      <c r="D811" s="57"/>
      <c r="E811" s="58"/>
      <c r="F811" s="59"/>
      <c r="G811" s="10"/>
      <c r="H811" s="55"/>
      <c r="I811" s="28"/>
      <c r="J811" s="28" t="s">
        <v>646</v>
      </c>
    </row>
    <row r="812" ht="22.5" customHeight="1">
      <c r="A812" s="9"/>
      <c r="B812" s="56"/>
      <c r="C812" s="13" t="str">
        <f>IFERROR(__xludf.DUMMYFUNCTION("IF(B812="""","""",LOWER(REGEXREPLACE(B812,""[^A-Za-z0-9]"",""""))&amp;""-""&amp;TEXT(COUNTIF($B$2:B812,B812),""000""))"),"")</f>
        <v/>
      </c>
      <c r="D812" s="57"/>
      <c r="E812" s="58"/>
      <c r="F812" s="59"/>
      <c r="G812" s="10"/>
      <c r="H812" s="55"/>
      <c r="I812" s="28"/>
      <c r="J812" s="28" t="s">
        <v>646</v>
      </c>
    </row>
    <row r="813" ht="22.5" customHeight="1">
      <c r="A813" s="9"/>
      <c r="B813" s="56"/>
      <c r="C813" s="13" t="str">
        <f>IFERROR(__xludf.DUMMYFUNCTION("IF(B813="""","""",LOWER(REGEXREPLACE(B813,""[^A-Za-z0-9]"",""""))&amp;""-""&amp;TEXT(COUNTIF($B$2:B813,B813),""000""))"),"")</f>
        <v/>
      </c>
      <c r="D813" s="57"/>
      <c r="E813" s="58"/>
      <c r="F813" s="59"/>
      <c r="G813" s="10"/>
      <c r="H813" s="55"/>
      <c r="I813" s="28"/>
      <c r="J813" s="28" t="s">
        <v>646</v>
      </c>
    </row>
    <row r="814" ht="22.5" customHeight="1">
      <c r="A814" s="9"/>
      <c r="B814" s="56"/>
      <c r="C814" s="13" t="str">
        <f>IFERROR(__xludf.DUMMYFUNCTION("IF(B814="""","""",LOWER(REGEXREPLACE(B814,""[^A-Za-z0-9]"",""""))&amp;""-""&amp;TEXT(COUNTIF($B$2:B814,B814),""000""))"),"")</f>
        <v/>
      </c>
      <c r="D814" s="57"/>
      <c r="E814" s="58"/>
      <c r="F814" s="59"/>
      <c r="G814" s="10"/>
      <c r="H814" s="55"/>
      <c r="I814" s="28"/>
      <c r="J814" s="28" t="s">
        <v>646</v>
      </c>
    </row>
    <row r="815" ht="22.5" customHeight="1">
      <c r="A815" s="9"/>
      <c r="B815" s="56"/>
      <c r="C815" s="13" t="str">
        <f>IFERROR(__xludf.DUMMYFUNCTION("IF(B815="""","""",LOWER(REGEXREPLACE(B815,""[^A-Za-z0-9]"",""""))&amp;""-""&amp;TEXT(COUNTIF($B$2:B815,B815),""000""))"),"")</f>
        <v/>
      </c>
      <c r="D815" s="57"/>
      <c r="E815" s="58"/>
      <c r="F815" s="59"/>
      <c r="G815" s="10"/>
      <c r="H815" s="55"/>
      <c r="I815" s="28"/>
      <c r="J815" s="28" t="s">
        <v>646</v>
      </c>
    </row>
    <row r="816" ht="22.5" customHeight="1">
      <c r="A816" s="9"/>
      <c r="B816" s="56"/>
      <c r="C816" s="13" t="str">
        <f>IFERROR(__xludf.DUMMYFUNCTION("IF(B816="""","""",LOWER(REGEXREPLACE(B816,""[^A-Za-z0-9]"",""""))&amp;""-""&amp;TEXT(COUNTIF($B$2:B816,B816),""000""))"),"")</f>
        <v/>
      </c>
      <c r="D816" s="57"/>
      <c r="E816" s="58"/>
      <c r="F816" s="59"/>
      <c r="G816" s="10"/>
      <c r="H816" s="55"/>
      <c r="I816" s="28"/>
      <c r="J816" s="28" t="s">
        <v>646</v>
      </c>
    </row>
    <row r="817" ht="22.5" customHeight="1">
      <c r="A817" s="9"/>
      <c r="B817" s="56"/>
      <c r="C817" s="13" t="str">
        <f>IFERROR(__xludf.DUMMYFUNCTION("IF(B817="""","""",LOWER(REGEXREPLACE(B817,""[^A-Za-z0-9]"",""""))&amp;""-""&amp;TEXT(COUNTIF($B$2:B817,B817),""000""))"),"")</f>
        <v/>
      </c>
      <c r="D817" s="57"/>
      <c r="E817" s="58"/>
      <c r="F817" s="59"/>
      <c r="G817" s="10"/>
      <c r="H817" s="55"/>
      <c r="I817" s="28"/>
      <c r="J817" s="28" t="s">
        <v>646</v>
      </c>
    </row>
    <row r="818" ht="22.5" customHeight="1">
      <c r="A818" s="9"/>
      <c r="B818" s="56"/>
      <c r="C818" s="13" t="str">
        <f>IFERROR(__xludf.DUMMYFUNCTION("IF(B818="""","""",LOWER(REGEXREPLACE(B818,""[^A-Za-z0-9]"",""""))&amp;""-""&amp;TEXT(COUNTIF($B$2:B818,B818),""000""))"),"")</f>
        <v/>
      </c>
      <c r="D818" s="57"/>
      <c r="E818" s="58"/>
      <c r="F818" s="59"/>
      <c r="G818" s="10"/>
      <c r="H818" s="55"/>
      <c r="I818" s="28"/>
      <c r="J818" s="28" t="s">
        <v>646</v>
      </c>
    </row>
    <row r="819" ht="22.5" customHeight="1">
      <c r="A819" s="9"/>
      <c r="B819" s="56"/>
      <c r="C819" s="13" t="str">
        <f>IFERROR(__xludf.DUMMYFUNCTION("IF(B819="""","""",LOWER(REGEXREPLACE(B819,""[^A-Za-z0-9]"",""""))&amp;""-""&amp;TEXT(COUNTIF($B$2:B819,B819),""000""))"),"")</f>
        <v/>
      </c>
      <c r="D819" s="57"/>
      <c r="E819" s="58"/>
      <c r="F819" s="59"/>
      <c r="G819" s="10"/>
      <c r="H819" s="55"/>
      <c r="I819" s="28"/>
      <c r="J819" s="28" t="s">
        <v>646</v>
      </c>
    </row>
    <row r="820" ht="22.5" customHeight="1">
      <c r="A820" s="9"/>
      <c r="B820" s="56"/>
      <c r="C820" s="13" t="str">
        <f>IFERROR(__xludf.DUMMYFUNCTION("IF(B820="""","""",LOWER(REGEXREPLACE(B820,""[^A-Za-z0-9]"",""""))&amp;""-""&amp;TEXT(COUNTIF($B$2:B820,B820),""000""))"),"")</f>
        <v/>
      </c>
      <c r="D820" s="57"/>
      <c r="E820" s="58"/>
      <c r="F820" s="59"/>
      <c r="G820" s="10"/>
      <c r="H820" s="55"/>
      <c r="I820" s="28"/>
      <c r="J820" s="28" t="s">
        <v>646</v>
      </c>
    </row>
    <row r="821" ht="22.5" customHeight="1">
      <c r="A821" s="9"/>
      <c r="B821" s="56"/>
      <c r="C821" s="13" t="str">
        <f>IFERROR(__xludf.DUMMYFUNCTION("IF(B821="""","""",LOWER(REGEXREPLACE(B821,""[^A-Za-z0-9]"",""""))&amp;""-""&amp;TEXT(COUNTIF($B$2:B821,B821),""000""))"),"")</f>
        <v/>
      </c>
      <c r="D821" s="57"/>
      <c r="E821" s="58"/>
      <c r="F821" s="59"/>
      <c r="G821" s="10"/>
      <c r="H821" s="55"/>
      <c r="I821" s="28"/>
      <c r="J821" s="28" t="s">
        <v>646</v>
      </c>
    </row>
    <row r="822" ht="22.5" customHeight="1">
      <c r="A822" s="9"/>
      <c r="B822" s="56"/>
      <c r="C822" s="13" t="str">
        <f>IFERROR(__xludf.DUMMYFUNCTION("IF(B822="""","""",LOWER(REGEXREPLACE(B822,""[^A-Za-z0-9]"",""""))&amp;""-""&amp;TEXT(COUNTIF($B$2:B822,B822),""000""))"),"")</f>
        <v/>
      </c>
      <c r="D822" s="57"/>
      <c r="E822" s="58"/>
      <c r="F822" s="59"/>
      <c r="G822" s="10"/>
      <c r="H822" s="55"/>
      <c r="I822" s="28"/>
      <c r="J822" s="28" t="s">
        <v>646</v>
      </c>
    </row>
    <row r="823" ht="22.5" customHeight="1">
      <c r="A823" s="9"/>
      <c r="B823" s="56"/>
      <c r="C823" s="13" t="str">
        <f>IFERROR(__xludf.DUMMYFUNCTION("IF(B823="""","""",LOWER(REGEXREPLACE(B823,""[^A-Za-z0-9]"",""""))&amp;""-""&amp;TEXT(COUNTIF($B$2:B823,B823),""000""))"),"")</f>
        <v/>
      </c>
      <c r="D823" s="57"/>
      <c r="E823" s="58"/>
      <c r="F823" s="59"/>
      <c r="G823" s="10"/>
      <c r="H823" s="55"/>
      <c r="I823" s="28"/>
      <c r="J823" s="28" t="s">
        <v>646</v>
      </c>
    </row>
    <row r="824" ht="22.5" customHeight="1">
      <c r="A824" s="9"/>
      <c r="B824" s="56"/>
      <c r="C824" s="13" t="str">
        <f>IFERROR(__xludf.DUMMYFUNCTION("IF(B824="""","""",LOWER(REGEXREPLACE(B824,""[^A-Za-z0-9]"",""""))&amp;""-""&amp;TEXT(COUNTIF($B$2:B824,B824),""000""))"),"")</f>
        <v/>
      </c>
      <c r="D824" s="57"/>
      <c r="E824" s="58"/>
      <c r="F824" s="59"/>
      <c r="G824" s="10"/>
      <c r="H824" s="55"/>
      <c r="I824" s="28"/>
      <c r="J824" s="28" t="s">
        <v>646</v>
      </c>
    </row>
    <row r="825" ht="22.5" customHeight="1">
      <c r="A825" s="9"/>
      <c r="B825" s="56"/>
      <c r="C825" s="13" t="str">
        <f>IFERROR(__xludf.DUMMYFUNCTION("IF(B825="""","""",LOWER(REGEXREPLACE(B825,""[^A-Za-z0-9]"",""""))&amp;""-""&amp;TEXT(COUNTIF($B$2:B825,B825),""000""))"),"")</f>
        <v/>
      </c>
      <c r="D825" s="57"/>
      <c r="E825" s="58"/>
      <c r="F825" s="59"/>
      <c r="G825" s="10"/>
      <c r="H825" s="55"/>
      <c r="I825" s="28"/>
      <c r="J825" s="28" t="s">
        <v>646</v>
      </c>
    </row>
    <row r="826" ht="22.5" customHeight="1">
      <c r="A826" s="9"/>
      <c r="B826" s="56"/>
      <c r="C826" s="13" t="str">
        <f>IFERROR(__xludf.DUMMYFUNCTION("IF(B826="""","""",LOWER(REGEXREPLACE(B826,""[^A-Za-z0-9]"",""""))&amp;""-""&amp;TEXT(COUNTIF($B$2:B826,B826),""000""))"),"")</f>
        <v/>
      </c>
      <c r="D826" s="57"/>
      <c r="E826" s="58"/>
      <c r="F826" s="59"/>
      <c r="G826" s="10"/>
      <c r="H826" s="55"/>
      <c r="I826" s="28"/>
      <c r="J826" s="28" t="s">
        <v>646</v>
      </c>
    </row>
    <row r="827" ht="22.5" customHeight="1">
      <c r="A827" s="9"/>
      <c r="B827" s="56"/>
      <c r="C827" s="13" t="str">
        <f>IFERROR(__xludf.DUMMYFUNCTION("IF(B827="""","""",LOWER(REGEXREPLACE(B827,""[^A-Za-z0-9]"",""""))&amp;""-""&amp;TEXT(COUNTIF($B$2:B827,B827),""000""))"),"")</f>
        <v/>
      </c>
      <c r="D827" s="57"/>
      <c r="E827" s="58"/>
      <c r="F827" s="59"/>
      <c r="G827" s="10"/>
      <c r="H827" s="55"/>
      <c r="I827" s="28"/>
      <c r="J827" s="28" t="s">
        <v>646</v>
      </c>
    </row>
    <row r="828" ht="22.5" customHeight="1">
      <c r="A828" s="9"/>
      <c r="B828" s="56"/>
      <c r="C828" s="13" t="str">
        <f>IFERROR(__xludf.DUMMYFUNCTION("IF(B828="""","""",LOWER(REGEXREPLACE(B828,""[^A-Za-z0-9]"",""""))&amp;""-""&amp;TEXT(COUNTIF($B$2:B828,B828),""000""))"),"")</f>
        <v/>
      </c>
      <c r="D828" s="57"/>
      <c r="E828" s="58"/>
      <c r="F828" s="59"/>
      <c r="G828" s="10"/>
      <c r="H828" s="55"/>
      <c r="I828" s="28"/>
      <c r="J828" s="28" t="s">
        <v>646</v>
      </c>
    </row>
    <row r="829" ht="22.5" customHeight="1">
      <c r="A829" s="9"/>
      <c r="B829" s="56"/>
      <c r="C829" s="13" t="str">
        <f>IFERROR(__xludf.DUMMYFUNCTION("IF(B829="""","""",LOWER(REGEXREPLACE(B829,""[^A-Za-z0-9]"",""""))&amp;""-""&amp;TEXT(COUNTIF($B$2:B829,B829),""000""))"),"")</f>
        <v/>
      </c>
      <c r="D829" s="57"/>
      <c r="E829" s="58"/>
      <c r="F829" s="59"/>
      <c r="G829" s="10"/>
      <c r="H829" s="55"/>
      <c r="I829" s="28"/>
      <c r="J829" s="28" t="s">
        <v>646</v>
      </c>
    </row>
    <row r="830" ht="22.5" customHeight="1">
      <c r="A830" s="9"/>
      <c r="B830" s="56"/>
      <c r="C830" s="13" t="str">
        <f>IFERROR(__xludf.DUMMYFUNCTION("IF(B830="""","""",LOWER(REGEXREPLACE(B830,""[^A-Za-z0-9]"",""""))&amp;""-""&amp;TEXT(COUNTIF($B$2:B830,B830),""000""))"),"")</f>
        <v/>
      </c>
      <c r="D830" s="57"/>
      <c r="E830" s="58"/>
      <c r="F830" s="59"/>
      <c r="G830" s="10"/>
      <c r="H830" s="55"/>
      <c r="I830" s="28"/>
      <c r="J830" s="28" t="s">
        <v>646</v>
      </c>
    </row>
    <row r="831" ht="22.5" customHeight="1">
      <c r="A831" s="9"/>
      <c r="B831" s="56"/>
      <c r="C831" s="13" t="str">
        <f>IFERROR(__xludf.DUMMYFUNCTION("IF(B831="""","""",LOWER(REGEXREPLACE(B831,""[^A-Za-z0-9]"",""""))&amp;""-""&amp;TEXT(COUNTIF($B$2:B831,B831),""000""))"),"")</f>
        <v/>
      </c>
      <c r="D831" s="57"/>
      <c r="E831" s="58"/>
      <c r="F831" s="59"/>
      <c r="G831" s="10"/>
      <c r="H831" s="55"/>
      <c r="I831" s="28"/>
      <c r="J831" s="28" t="s">
        <v>646</v>
      </c>
    </row>
    <row r="832" ht="22.5" customHeight="1">
      <c r="A832" s="9"/>
      <c r="B832" s="56"/>
      <c r="C832" s="13" t="str">
        <f>IFERROR(__xludf.DUMMYFUNCTION("IF(B832="""","""",LOWER(REGEXREPLACE(B832,""[^A-Za-z0-9]"",""""))&amp;""-""&amp;TEXT(COUNTIF($B$2:B832,B832),""000""))"),"")</f>
        <v/>
      </c>
      <c r="D832" s="57"/>
      <c r="E832" s="58"/>
      <c r="F832" s="59"/>
      <c r="G832" s="10"/>
      <c r="H832" s="55"/>
      <c r="I832" s="28"/>
      <c r="J832" s="28" t="s">
        <v>646</v>
      </c>
    </row>
    <row r="833" ht="22.5" customHeight="1">
      <c r="A833" s="9"/>
      <c r="B833" s="56"/>
      <c r="C833" s="13" t="str">
        <f>IFERROR(__xludf.DUMMYFUNCTION("IF(B833="""","""",LOWER(REGEXREPLACE(B833,""[^A-Za-z0-9]"",""""))&amp;""-""&amp;TEXT(COUNTIF($B$2:B833,B833),""000""))"),"")</f>
        <v/>
      </c>
      <c r="D833" s="57"/>
      <c r="E833" s="58"/>
      <c r="F833" s="59"/>
      <c r="G833" s="10"/>
      <c r="H833" s="55"/>
      <c r="I833" s="28"/>
      <c r="J833" s="28" t="s">
        <v>646</v>
      </c>
    </row>
    <row r="834" ht="22.5" customHeight="1">
      <c r="A834" s="9"/>
      <c r="B834" s="56"/>
      <c r="C834" s="13" t="str">
        <f>IFERROR(__xludf.DUMMYFUNCTION("IF(B834="""","""",LOWER(REGEXREPLACE(B834,""[^A-Za-z0-9]"",""""))&amp;""-""&amp;TEXT(COUNTIF($B$2:B834,B834),""000""))"),"")</f>
        <v/>
      </c>
      <c r="D834" s="57"/>
      <c r="E834" s="58"/>
      <c r="F834" s="59"/>
      <c r="G834" s="10"/>
      <c r="H834" s="55"/>
      <c r="I834" s="28"/>
      <c r="J834" s="28" t="s">
        <v>646</v>
      </c>
    </row>
    <row r="835" ht="22.5" customHeight="1">
      <c r="A835" s="9"/>
      <c r="B835" s="56"/>
      <c r="C835" s="13" t="str">
        <f>IFERROR(__xludf.DUMMYFUNCTION("IF(B835="""","""",LOWER(REGEXREPLACE(B835,""[^A-Za-z0-9]"",""""))&amp;""-""&amp;TEXT(COUNTIF($B$2:B835,B835),""000""))"),"")</f>
        <v/>
      </c>
      <c r="D835" s="57"/>
      <c r="E835" s="58"/>
      <c r="F835" s="59"/>
      <c r="G835" s="10"/>
      <c r="H835" s="55"/>
      <c r="I835" s="28"/>
      <c r="J835" s="28" t="s">
        <v>646</v>
      </c>
    </row>
    <row r="836" ht="22.5" customHeight="1">
      <c r="A836" s="9"/>
      <c r="B836" s="56"/>
      <c r="C836" s="13" t="str">
        <f>IFERROR(__xludf.DUMMYFUNCTION("IF(B836="""","""",LOWER(REGEXREPLACE(B836,""[^A-Za-z0-9]"",""""))&amp;""-""&amp;TEXT(COUNTIF($B$2:B836,B836),""000""))"),"")</f>
        <v/>
      </c>
      <c r="D836" s="57"/>
      <c r="E836" s="58"/>
      <c r="F836" s="59"/>
      <c r="G836" s="10"/>
      <c r="H836" s="55"/>
      <c r="I836" s="28"/>
      <c r="J836" s="28" t="s">
        <v>646</v>
      </c>
    </row>
    <row r="837" ht="22.5" customHeight="1">
      <c r="A837" s="9"/>
      <c r="B837" s="56"/>
      <c r="C837" s="13" t="str">
        <f>IFERROR(__xludf.DUMMYFUNCTION("IF(B837="""","""",LOWER(REGEXREPLACE(B837,""[^A-Za-z0-9]"",""""))&amp;""-""&amp;TEXT(COUNTIF($B$2:B837,B837),""000""))"),"")</f>
        <v/>
      </c>
      <c r="D837" s="57"/>
      <c r="E837" s="58"/>
      <c r="F837" s="59"/>
      <c r="G837" s="10"/>
      <c r="H837" s="55"/>
      <c r="I837" s="28"/>
      <c r="J837" s="28" t="s">
        <v>646</v>
      </c>
    </row>
    <row r="838" ht="22.5" customHeight="1">
      <c r="A838" s="9"/>
      <c r="B838" s="56"/>
      <c r="C838" s="13" t="str">
        <f>IFERROR(__xludf.DUMMYFUNCTION("IF(B838="""","""",LOWER(REGEXREPLACE(B838,""[^A-Za-z0-9]"",""""))&amp;""-""&amp;TEXT(COUNTIF($B$2:B838,B838),""000""))"),"")</f>
        <v/>
      </c>
      <c r="D838" s="57"/>
      <c r="E838" s="58"/>
      <c r="F838" s="59"/>
      <c r="G838" s="10"/>
      <c r="H838" s="55"/>
      <c r="I838" s="28"/>
      <c r="J838" s="28" t="s">
        <v>646</v>
      </c>
    </row>
    <row r="839" ht="22.5" customHeight="1">
      <c r="A839" s="9"/>
      <c r="B839" s="56"/>
      <c r="C839" s="13" t="str">
        <f>IFERROR(__xludf.DUMMYFUNCTION("IF(B839="""","""",LOWER(REGEXREPLACE(B839,""[^A-Za-z0-9]"",""""))&amp;""-""&amp;TEXT(COUNTIF($B$2:B839,B839),""000""))"),"")</f>
        <v/>
      </c>
      <c r="D839" s="57"/>
      <c r="E839" s="58"/>
      <c r="F839" s="59"/>
      <c r="G839" s="10"/>
      <c r="H839" s="55"/>
      <c r="I839" s="28"/>
      <c r="J839" s="28" t="s">
        <v>646</v>
      </c>
    </row>
    <row r="840" ht="22.5" customHeight="1">
      <c r="A840" s="9"/>
      <c r="B840" s="56"/>
      <c r="C840" s="13" t="str">
        <f>IFERROR(__xludf.DUMMYFUNCTION("IF(B840="""","""",LOWER(REGEXREPLACE(B840,""[^A-Za-z0-9]"",""""))&amp;""-""&amp;TEXT(COUNTIF($B$2:B840,B840),""000""))"),"")</f>
        <v/>
      </c>
      <c r="D840" s="57"/>
      <c r="E840" s="58"/>
      <c r="F840" s="59"/>
      <c r="G840" s="10"/>
      <c r="H840" s="55"/>
      <c r="I840" s="28"/>
      <c r="J840" s="28" t="s">
        <v>646</v>
      </c>
    </row>
    <row r="841" ht="22.5" customHeight="1">
      <c r="A841" s="9"/>
      <c r="B841" s="56"/>
      <c r="C841" s="13" t="str">
        <f>IFERROR(__xludf.DUMMYFUNCTION("IF(B841="""","""",LOWER(REGEXREPLACE(B841,""[^A-Za-z0-9]"",""""))&amp;""-""&amp;TEXT(COUNTIF($B$2:B841,B841),""000""))"),"")</f>
        <v/>
      </c>
      <c r="D841" s="57"/>
      <c r="E841" s="58"/>
      <c r="F841" s="59"/>
      <c r="G841" s="10"/>
      <c r="H841" s="55"/>
      <c r="I841" s="28"/>
      <c r="J841" s="28" t="s">
        <v>646</v>
      </c>
    </row>
    <row r="842" ht="22.5" customHeight="1">
      <c r="A842" s="9"/>
      <c r="B842" s="56"/>
      <c r="C842" s="13" t="str">
        <f>IFERROR(__xludf.DUMMYFUNCTION("IF(B842="""","""",LOWER(REGEXREPLACE(B842,""[^A-Za-z0-9]"",""""))&amp;""-""&amp;TEXT(COUNTIF($B$2:B842,B842),""000""))"),"")</f>
        <v/>
      </c>
      <c r="D842" s="57"/>
      <c r="E842" s="58"/>
      <c r="F842" s="59"/>
      <c r="G842" s="10"/>
      <c r="H842" s="55"/>
      <c r="I842" s="28"/>
      <c r="J842" s="28" t="s">
        <v>646</v>
      </c>
    </row>
    <row r="843" ht="22.5" customHeight="1">
      <c r="A843" s="9"/>
      <c r="B843" s="56"/>
      <c r="C843" s="13" t="str">
        <f>IFERROR(__xludf.DUMMYFUNCTION("IF(B843="""","""",LOWER(REGEXREPLACE(B843,""[^A-Za-z0-9]"",""""))&amp;""-""&amp;TEXT(COUNTIF($B$2:B843,B843),""000""))"),"")</f>
        <v/>
      </c>
      <c r="D843" s="57"/>
      <c r="E843" s="58"/>
      <c r="F843" s="59"/>
      <c r="G843" s="10"/>
      <c r="H843" s="55"/>
      <c r="I843" s="28"/>
      <c r="J843" s="28" t="s">
        <v>646</v>
      </c>
    </row>
    <row r="844" ht="22.5" customHeight="1">
      <c r="A844" s="9"/>
      <c r="B844" s="56"/>
      <c r="C844" s="13" t="str">
        <f>IFERROR(__xludf.DUMMYFUNCTION("IF(B844="""","""",LOWER(REGEXREPLACE(B844,""[^A-Za-z0-9]"",""""))&amp;""-""&amp;TEXT(COUNTIF($B$2:B844,B844),""000""))"),"")</f>
        <v/>
      </c>
      <c r="D844" s="57"/>
      <c r="E844" s="58"/>
      <c r="F844" s="59"/>
      <c r="G844" s="10"/>
      <c r="H844" s="55"/>
      <c r="I844" s="28"/>
      <c r="J844" s="28" t="s">
        <v>646</v>
      </c>
    </row>
    <row r="845" ht="22.5" customHeight="1">
      <c r="A845" s="9"/>
      <c r="B845" s="56"/>
      <c r="C845" s="13" t="str">
        <f>IFERROR(__xludf.DUMMYFUNCTION("IF(B845="""","""",LOWER(REGEXREPLACE(B845,""[^A-Za-z0-9]"",""""))&amp;""-""&amp;TEXT(COUNTIF($B$2:B845,B845),""000""))"),"")</f>
        <v/>
      </c>
      <c r="D845" s="57"/>
      <c r="E845" s="58"/>
      <c r="F845" s="59"/>
      <c r="G845" s="10"/>
      <c r="H845" s="55"/>
      <c r="I845" s="28"/>
      <c r="J845" s="28" t="s">
        <v>646</v>
      </c>
    </row>
    <row r="846" ht="22.5" customHeight="1">
      <c r="A846" s="9"/>
      <c r="B846" s="56"/>
      <c r="C846" s="13" t="str">
        <f>IFERROR(__xludf.DUMMYFUNCTION("IF(B846="""","""",LOWER(REGEXREPLACE(B846,""[^A-Za-z0-9]"",""""))&amp;""-""&amp;TEXT(COUNTIF($B$2:B846,B846),""000""))"),"")</f>
        <v/>
      </c>
      <c r="D846" s="57"/>
      <c r="E846" s="58"/>
      <c r="F846" s="59"/>
      <c r="G846" s="10"/>
      <c r="H846" s="55"/>
      <c r="I846" s="28"/>
      <c r="J846" s="28" t="s">
        <v>646</v>
      </c>
    </row>
    <row r="847" ht="22.5" customHeight="1">
      <c r="A847" s="9"/>
      <c r="B847" s="56"/>
      <c r="C847" s="13" t="str">
        <f>IFERROR(__xludf.DUMMYFUNCTION("IF(B847="""","""",LOWER(REGEXREPLACE(B847,""[^A-Za-z0-9]"",""""))&amp;""-""&amp;TEXT(COUNTIF($B$2:B847,B847),""000""))"),"")</f>
        <v/>
      </c>
      <c r="D847" s="57"/>
      <c r="E847" s="58"/>
      <c r="F847" s="59"/>
      <c r="G847" s="10"/>
      <c r="H847" s="55"/>
      <c r="I847" s="28"/>
      <c r="J847" s="28" t="s">
        <v>646</v>
      </c>
    </row>
    <row r="848" ht="22.5" customHeight="1">
      <c r="A848" s="9"/>
      <c r="B848" s="56"/>
      <c r="C848" s="13" t="str">
        <f>IFERROR(__xludf.DUMMYFUNCTION("IF(B848="""","""",LOWER(REGEXREPLACE(B848,""[^A-Za-z0-9]"",""""))&amp;""-""&amp;TEXT(COUNTIF($B$2:B848,B848),""000""))"),"")</f>
        <v/>
      </c>
      <c r="D848" s="57"/>
      <c r="E848" s="58"/>
      <c r="F848" s="59"/>
      <c r="G848" s="10"/>
      <c r="H848" s="55"/>
      <c r="I848" s="28"/>
      <c r="J848" s="28" t="s">
        <v>646</v>
      </c>
    </row>
    <row r="849" ht="22.5" customHeight="1">
      <c r="A849" s="9"/>
      <c r="B849" s="56"/>
      <c r="C849" s="13" t="str">
        <f>IFERROR(__xludf.DUMMYFUNCTION("IF(B849="""","""",LOWER(REGEXREPLACE(B849,""[^A-Za-z0-9]"",""""))&amp;""-""&amp;TEXT(COUNTIF($B$2:B849,B849),""000""))"),"")</f>
        <v/>
      </c>
      <c r="D849" s="57"/>
      <c r="E849" s="58"/>
      <c r="F849" s="59"/>
      <c r="G849" s="10"/>
      <c r="H849" s="55"/>
      <c r="I849" s="28"/>
      <c r="J849" s="28" t="s">
        <v>646</v>
      </c>
    </row>
    <row r="850" ht="22.5" customHeight="1">
      <c r="A850" s="9"/>
      <c r="B850" s="56"/>
      <c r="C850" s="13" t="str">
        <f>IFERROR(__xludf.DUMMYFUNCTION("IF(B850="""","""",LOWER(REGEXREPLACE(B850,""[^A-Za-z0-9]"",""""))&amp;""-""&amp;TEXT(COUNTIF($B$2:B850,B850),""000""))"),"")</f>
        <v/>
      </c>
      <c r="D850" s="57"/>
      <c r="E850" s="58"/>
      <c r="F850" s="59"/>
      <c r="G850" s="10"/>
      <c r="H850" s="55"/>
      <c r="I850" s="28"/>
      <c r="J850" s="28" t="s">
        <v>646</v>
      </c>
    </row>
    <row r="851" ht="22.5" customHeight="1">
      <c r="A851" s="9"/>
      <c r="B851" s="56"/>
      <c r="C851" s="13" t="str">
        <f>IFERROR(__xludf.DUMMYFUNCTION("IF(B851="""","""",LOWER(REGEXREPLACE(B851,""[^A-Za-z0-9]"",""""))&amp;""-""&amp;TEXT(COUNTIF($B$2:B851,B851),""000""))"),"")</f>
        <v/>
      </c>
      <c r="D851" s="57"/>
      <c r="E851" s="58"/>
      <c r="F851" s="59"/>
      <c r="G851" s="10"/>
      <c r="H851" s="55"/>
      <c r="I851" s="28"/>
      <c r="J851" s="28" t="s">
        <v>646</v>
      </c>
    </row>
    <row r="852" ht="22.5" customHeight="1">
      <c r="A852" s="9"/>
      <c r="B852" s="56"/>
      <c r="C852" s="13" t="str">
        <f>IFERROR(__xludf.DUMMYFUNCTION("IF(B852="""","""",LOWER(REGEXREPLACE(B852,""[^A-Za-z0-9]"",""""))&amp;""-""&amp;TEXT(COUNTIF($B$2:B852,B852),""000""))"),"")</f>
        <v/>
      </c>
      <c r="D852" s="57"/>
      <c r="E852" s="58"/>
      <c r="F852" s="59"/>
      <c r="G852" s="10"/>
      <c r="H852" s="55"/>
      <c r="I852" s="28"/>
      <c r="J852" s="28" t="s">
        <v>646</v>
      </c>
    </row>
    <row r="853" ht="22.5" customHeight="1">
      <c r="A853" s="9"/>
      <c r="B853" s="56"/>
      <c r="C853" s="13" t="str">
        <f>IFERROR(__xludf.DUMMYFUNCTION("IF(B853="""","""",LOWER(REGEXREPLACE(B853,""[^A-Za-z0-9]"",""""))&amp;""-""&amp;TEXT(COUNTIF($B$2:B853,B853),""000""))"),"")</f>
        <v/>
      </c>
      <c r="D853" s="57"/>
      <c r="E853" s="58"/>
      <c r="F853" s="59"/>
      <c r="G853" s="10"/>
      <c r="H853" s="55"/>
      <c r="I853" s="28"/>
      <c r="J853" s="28" t="s">
        <v>646</v>
      </c>
    </row>
    <row r="854" ht="22.5" customHeight="1">
      <c r="A854" s="9"/>
      <c r="B854" s="56"/>
      <c r="C854" s="13" t="str">
        <f>IFERROR(__xludf.DUMMYFUNCTION("IF(B854="""","""",LOWER(REGEXREPLACE(B854,""[^A-Za-z0-9]"",""""))&amp;""-""&amp;TEXT(COUNTIF($B$2:B854,B854),""000""))"),"")</f>
        <v/>
      </c>
      <c r="D854" s="57"/>
      <c r="E854" s="58"/>
      <c r="F854" s="59"/>
      <c r="G854" s="10"/>
      <c r="H854" s="55"/>
      <c r="I854" s="28"/>
      <c r="J854" s="28" t="s">
        <v>646</v>
      </c>
    </row>
    <row r="855" ht="22.5" customHeight="1">
      <c r="A855" s="9"/>
      <c r="B855" s="56"/>
      <c r="C855" s="13" t="str">
        <f>IFERROR(__xludf.DUMMYFUNCTION("IF(B855="""","""",LOWER(REGEXREPLACE(B855,""[^A-Za-z0-9]"",""""))&amp;""-""&amp;TEXT(COUNTIF($B$2:B855,B855),""000""))"),"")</f>
        <v/>
      </c>
      <c r="D855" s="57"/>
      <c r="E855" s="58"/>
      <c r="F855" s="59"/>
      <c r="G855" s="10"/>
      <c r="H855" s="55"/>
      <c r="I855" s="28"/>
      <c r="J855" s="28" t="s">
        <v>646</v>
      </c>
    </row>
    <row r="856" ht="22.5" customHeight="1">
      <c r="A856" s="9"/>
      <c r="B856" s="56"/>
      <c r="C856" s="13" t="str">
        <f>IFERROR(__xludf.DUMMYFUNCTION("IF(B856="""","""",LOWER(REGEXREPLACE(B856,""[^A-Za-z0-9]"",""""))&amp;""-""&amp;TEXT(COUNTIF($B$2:B856,B856),""000""))"),"")</f>
        <v/>
      </c>
      <c r="D856" s="57"/>
      <c r="E856" s="58"/>
      <c r="F856" s="59"/>
      <c r="G856" s="10"/>
      <c r="H856" s="55"/>
      <c r="I856" s="28"/>
      <c r="J856" s="28" t="s">
        <v>646</v>
      </c>
    </row>
    <row r="857" ht="22.5" customHeight="1">
      <c r="A857" s="9"/>
      <c r="B857" s="56"/>
      <c r="C857" s="13" t="str">
        <f>IFERROR(__xludf.DUMMYFUNCTION("IF(B857="""","""",LOWER(REGEXREPLACE(B857,""[^A-Za-z0-9]"",""""))&amp;""-""&amp;TEXT(COUNTIF($B$2:B857,B857),""000""))"),"")</f>
        <v/>
      </c>
      <c r="D857" s="57"/>
      <c r="E857" s="58"/>
      <c r="F857" s="59"/>
      <c r="G857" s="10"/>
      <c r="H857" s="55"/>
      <c r="I857" s="28"/>
      <c r="J857" s="28" t="s">
        <v>646</v>
      </c>
    </row>
    <row r="858" ht="22.5" customHeight="1">
      <c r="A858" s="9"/>
      <c r="B858" s="56"/>
      <c r="C858" s="13" t="str">
        <f>IFERROR(__xludf.DUMMYFUNCTION("IF(B858="""","""",LOWER(REGEXREPLACE(B858,""[^A-Za-z0-9]"",""""))&amp;""-""&amp;TEXT(COUNTIF($B$2:B858,B858),""000""))"),"")</f>
        <v/>
      </c>
      <c r="D858" s="57"/>
      <c r="E858" s="58"/>
      <c r="F858" s="59"/>
      <c r="G858" s="10"/>
      <c r="H858" s="55"/>
      <c r="I858" s="28"/>
      <c r="J858" s="28" t="s">
        <v>646</v>
      </c>
    </row>
    <row r="859" ht="22.5" customHeight="1">
      <c r="A859" s="9"/>
      <c r="B859" s="56"/>
      <c r="C859" s="13" t="str">
        <f>IFERROR(__xludf.DUMMYFUNCTION("IF(B859="""","""",LOWER(REGEXREPLACE(B859,""[^A-Za-z0-9]"",""""))&amp;""-""&amp;TEXT(COUNTIF($B$2:B859,B859),""000""))"),"")</f>
        <v/>
      </c>
      <c r="D859" s="57"/>
      <c r="E859" s="58"/>
      <c r="F859" s="59"/>
      <c r="G859" s="10"/>
      <c r="H859" s="55"/>
      <c r="I859" s="28"/>
      <c r="J859" s="28" t="s">
        <v>646</v>
      </c>
    </row>
    <row r="860" ht="22.5" customHeight="1">
      <c r="A860" s="9"/>
      <c r="B860" s="56"/>
      <c r="C860" s="13" t="str">
        <f>IFERROR(__xludf.DUMMYFUNCTION("IF(B860="""","""",LOWER(REGEXREPLACE(B860,""[^A-Za-z0-9]"",""""))&amp;""-""&amp;TEXT(COUNTIF($B$2:B860,B860),""000""))"),"")</f>
        <v/>
      </c>
      <c r="D860" s="57"/>
      <c r="E860" s="58"/>
      <c r="F860" s="59"/>
      <c r="G860" s="10"/>
      <c r="H860" s="55"/>
      <c r="I860" s="28"/>
      <c r="J860" s="28" t="s">
        <v>646</v>
      </c>
    </row>
    <row r="861" ht="22.5" customHeight="1">
      <c r="A861" s="9"/>
      <c r="B861" s="56"/>
      <c r="C861" s="13" t="str">
        <f>IFERROR(__xludf.DUMMYFUNCTION("IF(B861="""","""",LOWER(REGEXREPLACE(B861,""[^A-Za-z0-9]"",""""))&amp;""-""&amp;TEXT(COUNTIF($B$2:B861,B861),""000""))"),"")</f>
        <v/>
      </c>
      <c r="D861" s="57"/>
      <c r="E861" s="58"/>
      <c r="F861" s="59"/>
      <c r="G861" s="10"/>
      <c r="H861" s="55"/>
      <c r="I861" s="28"/>
      <c r="J861" s="28" t="s">
        <v>646</v>
      </c>
    </row>
    <row r="862" ht="22.5" customHeight="1">
      <c r="A862" s="9"/>
      <c r="B862" s="56"/>
      <c r="C862" s="13" t="str">
        <f>IFERROR(__xludf.DUMMYFUNCTION("IF(B862="""","""",LOWER(REGEXREPLACE(B862,""[^A-Za-z0-9]"",""""))&amp;""-""&amp;TEXT(COUNTIF($B$2:B862,B862),""000""))"),"")</f>
        <v/>
      </c>
      <c r="D862" s="57"/>
      <c r="E862" s="58"/>
      <c r="F862" s="59"/>
      <c r="G862" s="10"/>
      <c r="H862" s="55"/>
      <c r="I862" s="28"/>
      <c r="J862" s="28" t="s">
        <v>646</v>
      </c>
    </row>
    <row r="863" ht="22.5" customHeight="1">
      <c r="A863" s="9"/>
      <c r="B863" s="56"/>
      <c r="C863" s="13" t="str">
        <f>IFERROR(__xludf.DUMMYFUNCTION("IF(B863="""","""",LOWER(REGEXREPLACE(B863,""[^A-Za-z0-9]"",""""))&amp;""-""&amp;TEXT(COUNTIF($B$2:B863,B863),""000""))"),"")</f>
        <v/>
      </c>
      <c r="D863" s="57"/>
      <c r="E863" s="58"/>
      <c r="F863" s="59"/>
      <c r="G863" s="10"/>
      <c r="H863" s="55"/>
      <c r="I863" s="28"/>
      <c r="J863" s="28" t="s">
        <v>646</v>
      </c>
    </row>
    <row r="864" ht="22.5" customHeight="1">
      <c r="A864" s="9"/>
      <c r="B864" s="56"/>
      <c r="C864" s="13" t="str">
        <f>IFERROR(__xludf.DUMMYFUNCTION("IF(B864="""","""",LOWER(REGEXREPLACE(B864,""[^A-Za-z0-9]"",""""))&amp;""-""&amp;TEXT(COUNTIF($B$2:B864,B864),""000""))"),"")</f>
        <v/>
      </c>
      <c r="D864" s="57"/>
      <c r="E864" s="58"/>
      <c r="F864" s="59"/>
      <c r="G864" s="10"/>
      <c r="H864" s="55"/>
      <c r="I864" s="28"/>
      <c r="J864" s="28" t="s">
        <v>646</v>
      </c>
    </row>
    <row r="865" ht="22.5" customHeight="1">
      <c r="A865" s="9"/>
      <c r="B865" s="56"/>
      <c r="C865" s="13" t="str">
        <f>IFERROR(__xludf.DUMMYFUNCTION("IF(B865="""","""",LOWER(REGEXREPLACE(B865,""[^A-Za-z0-9]"",""""))&amp;""-""&amp;TEXT(COUNTIF($B$2:B865,B865),""000""))"),"")</f>
        <v/>
      </c>
      <c r="D865" s="57"/>
      <c r="E865" s="58"/>
      <c r="F865" s="59"/>
      <c r="G865" s="10"/>
      <c r="H865" s="55"/>
      <c r="I865" s="28"/>
      <c r="J865" s="28" t="s">
        <v>646</v>
      </c>
    </row>
    <row r="866" ht="22.5" customHeight="1">
      <c r="A866" s="9"/>
      <c r="B866" s="56"/>
      <c r="C866" s="13" t="str">
        <f>IFERROR(__xludf.DUMMYFUNCTION("IF(B866="""","""",LOWER(REGEXREPLACE(B866,""[^A-Za-z0-9]"",""""))&amp;""-""&amp;TEXT(COUNTIF($B$2:B866,B866),""000""))"),"")</f>
        <v/>
      </c>
      <c r="D866" s="57"/>
      <c r="E866" s="58"/>
      <c r="F866" s="59"/>
      <c r="G866" s="10"/>
      <c r="H866" s="55"/>
      <c r="I866" s="28"/>
      <c r="J866" s="28" t="s">
        <v>646</v>
      </c>
    </row>
    <row r="867" ht="22.5" customHeight="1">
      <c r="A867" s="9"/>
      <c r="B867" s="56"/>
      <c r="C867" s="13" t="str">
        <f>IFERROR(__xludf.DUMMYFUNCTION("IF(B867="""","""",LOWER(REGEXREPLACE(B867,""[^A-Za-z0-9]"",""""))&amp;""-""&amp;TEXT(COUNTIF($B$2:B867,B867),""000""))"),"")</f>
        <v/>
      </c>
      <c r="D867" s="57"/>
      <c r="E867" s="58"/>
      <c r="F867" s="59"/>
      <c r="G867" s="10"/>
      <c r="H867" s="55"/>
      <c r="I867" s="28"/>
      <c r="J867" s="28" t="s">
        <v>646</v>
      </c>
    </row>
    <row r="868" ht="22.5" customHeight="1">
      <c r="A868" s="9"/>
      <c r="B868" s="56"/>
      <c r="C868" s="13" t="str">
        <f>IFERROR(__xludf.DUMMYFUNCTION("IF(B868="""","""",LOWER(REGEXREPLACE(B868,""[^A-Za-z0-9]"",""""))&amp;""-""&amp;TEXT(COUNTIF($B$2:B868,B868),""000""))"),"")</f>
        <v/>
      </c>
      <c r="D868" s="57"/>
      <c r="E868" s="58"/>
      <c r="F868" s="59"/>
      <c r="G868" s="10"/>
      <c r="H868" s="55"/>
      <c r="I868" s="28"/>
      <c r="J868" s="28" t="s">
        <v>646</v>
      </c>
    </row>
    <row r="869" ht="22.5" customHeight="1">
      <c r="A869" s="9"/>
      <c r="B869" s="56"/>
      <c r="C869" s="13" t="str">
        <f>IFERROR(__xludf.DUMMYFUNCTION("IF(B869="""","""",LOWER(REGEXREPLACE(B869,""[^A-Za-z0-9]"",""""))&amp;""-""&amp;TEXT(COUNTIF($B$2:B869,B869),""000""))"),"")</f>
        <v/>
      </c>
      <c r="D869" s="57"/>
      <c r="E869" s="58"/>
      <c r="F869" s="59"/>
      <c r="G869" s="10"/>
      <c r="H869" s="55"/>
      <c r="I869" s="28"/>
      <c r="J869" s="28" t="s">
        <v>646</v>
      </c>
    </row>
    <row r="870" ht="22.5" customHeight="1">
      <c r="A870" s="9"/>
      <c r="B870" s="56"/>
      <c r="C870" s="13" t="str">
        <f>IFERROR(__xludf.DUMMYFUNCTION("IF(B870="""","""",LOWER(REGEXREPLACE(B870,""[^A-Za-z0-9]"",""""))&amp;""-""&amp;TEXT(COUNTIF($B$2:B870,B870),""000""))"),"")</f>
        <v/>
      </c>
      <c r="D870" s="57"/>
      <c r="E870" s="58"/>
      <c r="F870" s="59"/>
      <c r="G870" s="10"/>
      <c r="H870" s="55"/>
      <c r="I870" s="28"/>
      <c r="J870" s="28" t="s">
        <v>646</v>
      </c>
    </row>
    <row r="871" ht="22.5" customHeight="1">
      <c r="A871" s="9"/>
      <c r="B871" s="56"/>
      <c r="C871" s="13" t="str">
        <f>IFERROR(__xludf.DUMMYFUNCTION("IF(B871="""","""",LOWER(REGEXREPLACE(B871,""[^A-Za-z0-9]"",""""))&amp;""-""&amp;TEXT(COUNTIF($B$2:B871,B871),""000""))"),"")</f>
        <v/>
      </c>
      <c r="D871" s="57"/>
      <c r="E871" s="58"/>
      <c r="F871" s="59"/>
      <c r="G871" s="10"/>
      <c r="H871" s="55"/>
      <c r="I871" s="28"/>
      <c r="J871" s="28" t="s">
        <v>646</v>
      </c>
    </row>
    <row r="872" ht="22.5" customHeight="1">
      <c r="A872" s="9"/>
      <c r="B872" s="56"/>
      <c r="C872" s="13" t="str">
        <f>IFERROR(__xludf.DUMMYFUNCTION("IF(B872="""","""",LOWER(REGEXREPLACE(B872,""[^A-Za-z0-9]"",""""))&amp;""-""&amp;TEXT(COUNTIF($B$2:B872,B872),""000""))"),"")</f>
        <v/>
      </c>
      <c r="D872" s="57"/>
      <c r="E872" s="58"/>
      <c r="F872" s="59"/>
      <c r="G872" s="10"/>
      <c r="H872" s="55"/>
      <c r="I872" s="28"/>
      <c r="J872" s="28" t="s">
        <v>646</v>
      </c>
    </row>
    <row r="873" ht="22.5" customHeight="1">
      <c r="A873" s="9"/>
      <c r="B873" s="56"/>
      <c r="C873" s="13" t="str">
        <f>IFERROR(__xludf.DUMMYFUNCTION("IF(B873="""","""",LOWER(REGEXREPLACE(B873,""[^A-Za-z0-9]"",""""))&amp;""-""&amp;TEXT(COUNTIF($B$2:B873,B873),""000""))"),"")</f>
        <v/>
      </c>
      <c r="D873" s="57"/>
      <c r="E873" s="58"/>
      <c r="F873" s="59"/>
      <c r="G873" s="10"/>
      <c r="H873" s="55"/>
      <c r="I873" s="28"/>
      <c r="J873" s="28" t="s">
        <v>646</v>
      </c>
    </row>
    <row r="874" ht="22.5" customHeight="1">
      <c r="A874" s="9"/>
      <c r="B874" s="56"/>
      <c r="C874" s="13" t="str">
        <f>IFERROR(__xludf.DUMMYFUNCTION("IF(B874="""","""",LOWER(REGEXREPLACE(B874,""[^A-Za-z0-9]"",""""))&amp;""-""&amp;TEXT(COUNTIF($B$2:B874,B874),""000""))"),"")</f>
        <v/>
      </c>
      <c r="D874" s="57"/>
      <c r="E874" s="58"/>
      <c r="F874" s="59"/>
      <c r="G874" s="10"/>
      <c r="H874" s="55"/>
      <c r="I874" s="28"/>
      <c r="J874" s="28" t="s">
        <v>646</v>
      </c>
    </row>
    <row r="875" ht="22.5" customHeight="1">
      <c r="A875" s="9"/>
      <c r="B875" s="56"/>
      <c r="C875" s="13" t="str">
        <f>IFERROR(__xludf.DUMMYFUNCTION("IF(B875="""","""",LOWER(REGEXREPLACE(B875,""[^A-Za-z0-9]"",""""))&amp;""-""&amp;TEXT(COUNTIF($B$2:B875,B875),""000""))"),"")</f>
        <v/>
      </c>
      <c r="D875" s="57"/>
      <c r="E875" s="58"/>
      <c r="F875" s="59"/>
      <c r="G875" s="10"/>
      <c r="H875" s="55"/>
      <c r="I875" s="28"/>
      <c r="J875" s="28" t="s">
        <v>646</v>
      </c>
    </row>
    <row r="876" ht="22.5" customHeight="1">
      <c r="A876" s="9"/>
      <c r="B876" s="56"/>
      <c r="C876" s="13" t="str">
        <f>IFERROR(__xludf.DUMMYFUNCTION("IF(B876="""","""",LOWER(REGEXREPLACE(B876,""[^A-Za-z0-9]"",""""))&amp;""-""&amp;TEXT(COUNTIF($B$2:B876,B876),""000""))"),"")</f>
        <v/>
      </c>
      <c r="D876" s="57"/>
      <c r="E876" s="58"/>
      <c r="F876" s="59"/>
      <c r="G876" s="10"/>
      <c r="H876" s="55"/>
      <c r="I876" s="28"/>
      <c r="J876" s="28" t="s">
        <v>646</v>
      </c>
    </row>
    <row r="877" ht="22.5" customHeight="1">
      <c r="A877" s="9"/>
      <c r="B877" s="56"/>
      <c r="C877" s="13" t="str">
        <f>IFERROR(__xludf.DUMMYFUNCTION("IF(B877="""","""",LOWER(REGEXREPLACE(B877,""[^A-Za-z0-9]"",""""))&amp;""-""&amp;TEXT(COUNTIF($B$2:B877,B877),""000""))"),"")</f>
        <v/>
      </c>
      <c r="D877" s="57"/>
      <c r="E877" s="58"/>
      <c r="F877" s="59"/>
      <c r="G877" s="10"/>
      <c r="H877" s="55"/>
      <c r="I877" s="28"/>
      <c r="J877" s="28" t="s">
        <v>646</v>
      </c>
    </row>
    <row r="878" ht="22.5" customHeight="1">
      <c r="A878" s="9"/>
      <c r="B878" s="56"/>
      <c r="C878" s="13" t="str">
        <f>IFERROR(__xludf.DUMMYFUNCTION("IF(B878="""","""",LOWER(REGEXREPLACE(B878,""[^A-Za-z0-9]"",""""))&amp;""-""&amp;TEXT(COUNTIF($B$2:B878,B878),""000""))"),"")</f>
        <v/>
      </c>
      <c r="D878" s="57"/>
      <c r="E878" s="58"/>
      <c r="F878" s="59"/>
      <c r="G878" s="10"/>
      <c r="H878" s="55"/>
      <c r="I878" s="28"/>
      <c r="J878" s="28" t="s">
        <v>646</v>
      </c>
    </row>
    <row r="879" ht="22.5" customHeight="1">
      <c r="A879" s="9"/>
      <c r="B879" s="56"/>
      <c r="C879" s="13" t="str">
        <f>IFERROR(__xludf.DUMMYFUNCTION("IF(B879="""","""",LOWER(REGEXREPLACE(B879,""[^A-Za-z0-9]"",""""))&amp;""-""&amp;TEXT(COUNTIF($B$2:B879,B879),""000""))"),"")</f>
        <v/>
      </c>
      <c r="D879" s="57"/>
      <c r="E879" s="58"/>
      <c r="F879" s="59"/>
      <c r="G879" s="10"/>
      <c r="H879" s="55"/>
      <c r="I879" s="28"/>
      <c r="J879" s="28" t="s">
        <v>646</v>
      </c>
    </row>
    <row r="880" ht="22.5" customHeight="1">
      <c r="A880" s="9"/>
      <c r="B880" s="56"/>
      <c r="C880" s="13" t="str">
        <f>IFERROR(__xludf.DUMMYFUNCTION("IF(B880="""","""",LOWER(REGEXREPLACE(B880,""[^A-Za-z0-9]"",""""))&amp;""-""&amp;TEXT(COUNTIF($B$2:B880,B880),""000""))"),"")</f>
        <v/>
      </c>
      <c r="D880" s="57"/>
      <c r="E880" s="58"/>
      <c r="F880" s="59"/>
      <c r="G880" s="10"/>
      <c r="H880" s="55"/>
      <c r="I880" s="28"/>
      <c r="J880" s="28" t="s">
        <v>646</v>
      </c>
    </row>
    <row r="881" ht="22.5" customHeight="1">
      <c r="A881" s="9"/>
      <c r="B881" s="56"/>
      <c r="C881" s="13" t="str">
        <f>IFERROR(__xludf.DUMMYFUNCTION("IF(B881="""","""",LOWER(REGEXREPLACE(B881,""[^A-Za-z0-9]"",""""))&amp;""-""&amp;TEXT(COUNTIF($B$2:B881,B881),""000""))"),"")</f>
        <v/>
      </c>
      <c r="D881" s="57"/>
      <c r="E881" s="58"/>
      <c r="F881" s="59"/>
      <c r="G881" s="10"/>
      <c r="H881" s="55"/>
      <c r="I881" s="28"/>
      <c r="J881" s="28" t="s">
        <v>646</v>
      </c>
    </row>
    <row r="882" ht="22.5" customHeight="1">
      <c r="A882" s="9"/>
      <c r="B882" s="56"/>
      <c r="C882" s="13" t="str">
        <f>IFERROR(__xludf.DUMMYFUNCTION("IF(B882="""","""",LOWER(REGEXREPLACE(B882,""[^A-Za-z0-9]"",""""))&amp;""-""&amp;TEXT(COUNTIF($B$2:B882,B882),""000""))"),"")</f>
        <v/>
      </c>
      <c r="D882" s="57"/>
      <c r="E882" s="58"/>
      <c r="F882" s="59"/>
      <c r="G882" s="10"/>
      <c r="H882" s="55"/>
      <c r="I882" s="28"/>
      <c r="J882" s="28" t="s">
        <v>646</v>
      </c>
    </row>
    <row r="883" ht="22.5" customHeight="1">
      <c r="A883" s="9"/>
      <c r="B883" s="56"/>
      <c r="C883" s="13" t="str">
        <f>IFERROR(__xludf.DUMMYFUNCTION("IF(B883="""","""",LOWER(REGEXREPLACE(B883,""[^A-Za-z0-9]"",""""))&amp;""-""&amp;TEXT(COUNTIF($B$2:B883,B883),""000""))"),"")</f>
        <v/>
      </c>
      <c r="D883" s="57"/>
      <c r="E883" s="58"/>
      <c r="F883" s="59"/>
      <c r="G883" s="10"/>
      <c r="H883" s="55"/>
      <c r="I883" s="28"/>
      <c r="J883" s="28" t="s">
        <v>646</v>
      </c>
    </row>
    <row r="884" ht="22.5" customHeight="1">
      <c r="A884" s="9"/>
      <c r="B884" s="56"/>
      <c r="C884" s="13" t="str">
        <f>IFERROR(__xludf.DUMMYFUNCTION("IF(B884="""","""",LOWER(REGEXREPLACE(B884,""[^A-Za-z0-9]"",""""))&amp;""-""&amp;TEXT(COUNTIF($B$2:B884,B884),""000""))"),"")</f>
        <v/>
      </c>
      <c r="D884" s="57"/>
      <c r="E884" s="58"/>
      <c r="F884" s="59"/>
      <c r="G884" s="10"/>
      <c r="H884" s="55"/>
      <c r="I884" s="28"/>
      <c r="J884" s="28" t="s">
        <v>646</v>
      </c>
    </row>
    <row r="885" ht="22.5" customHeight="1">
      <c r="A885" s="9"/>
      <c r="B885" s="56"/>
      <c r="C885" s="13" t="str">
        <f>IFERROR(__xludf.DUMMYFUNCTION("IF(B885="""","""",LOWER(REGEXREPLACE(B885,""[^A-Za-z0-9]"",""""))&amp;""-""&amp;TEXT(COUNTIF($B$2:B885,B885),""000""))"),"")</f>
        <v/>
      </c>
      <c r="D885" s="57"/>
      <c r="E885" s="58"/>
      <c r="F885" s="59"/>
      <c r="G885" s="10"/>
      <c r="H885" s="55"/>
      <c r="I885" s="28"/>
      <c r="J885" s="28" t="s">
        <v>646</v>
      </c>
    </row>
    <row r="886" ht="22.5" customHeight="1">
      <c r="A886" s="9"/>
      <c r="B886" s="56"/>
      <c r="C886" s="13" t="str">
        <f>IFERROR(__xludf.DUMMYFUNCTION("IF(B886="""","""",LOWER(REGEXREPLACE(B886,""[^A-Za-z0-9]"",""""))&amp;""-""&amp;TEXT(COUNTIF($B$2:B886,B886),""000""))"),"")</f>
        <v/>
      </c>
      <c r="D886" s="57"/>
      <c r="E886" s="58"/>
      <c r="F886" s="59"/>
      <c r="G886" s="10"/>
      <c r="H886" s="55"/>
      <c r="I886" s="28"/>
      <c r="J886" s="28" t="s">
        <v>646</v>
      </c>
    </row>
    <row r="887" ht="22.5" customHeight="1">
      <c r="A887" s="9"/>
      <c r="B887" s="56"/>
      <c r="C887" s="13" t="str">
        <f>IFERROR(__xludf.DUMMYFUNCTION("IF(B887="""","""",LOWER(REGEXREPLACE(B887,""[^A-Za-z0-9]"",""""))&amp;""-""&amp;TEXT(COUNTIF($B$2:B887,B887),""000""))"),"")</f>
        <v/>
      </c>
      <c r="D887" s="57"/>
      <c r="E887" s="58"/>
      <c r="F887" s="59"/>
      <c r="G887" s="10"/>
      <c r="H887" s="55"/>
      <c r="I887" s="28"/>
      <c r="J887" s="28" t="s">
        <v>646</v>
      </c>
    </row>
    <row r="888" ht="22.5" customHeight="1">
      <c r="A888" s="9"/>
      <c r="B888" s="56"/>
      <c r="C888" s="13" t="str">
        <f>IFERROR(__xludf.DUMMYFUNCTION("IF(B888="""","""",LOWER(REGEXREPLACE(B888,""[^A-Za-z0-9]"",""""))&amp;""-""&amp;TEXT(COUNTIF($B$2:B888,B888),""000""))"),"")</f>
        <v/>
      </c>
      <c r="D888" s="57"/>
      <c r="E888" s="58"/>
      <c r="F888" s="59"/>
      <c r="G888" s="10"/>
      <c r="H888" s="55"/>
      <c r="I888" s="28"/>
      <c r="J888" s="28" t="s">
        <v>646</v>
      </c>
    </row>
    <row r="889" ht="22.5" customHeight="1">
      <c r="A889" s="9"/>
      <c r="B889" s="56"/>
      <c r="C889" s="13" t="str">
        <f>IFERROR(__xludf.DUMMYFUNCTION("IF(B889="""","""",LOWER(REGEXREPLACE(B889,""[^A-Za-z0-9]"",""""))&amp;""-""&amp;TEXT(COUNTIF($B$2:B889,B889),""000""))"),"")</f>
        <v/>
      </c>
      <c r="D889" s="57"/>
      <c r="E889" s="58"/>
      <c r="F889" s="59"/>
      <c r="G889" s="10"/>
      <c r="H889" s="55"/>
      <c r="I889" s="28"/>
      <c r="J889" s="28" t="s">
        <v>646</v>
      </c>
    </row>
    <row r="890" ht="22.5" customHeight="1">
      <c r="A890" s="9"/>
      <c r="B890" s="56"/>
      <c r="C890" s="13" t="str">
        <f>IFERROR(__xludf.DUMMYFUNCTION("IF(B890="""","""",LOWER(REGEXREPLACE(B890,""[^A-Za-z0-9]"",""""))&amp;""-""&amp;TEXT(COUNTIF($B$2:B890,B890),""000""))"),"")</f>
        <v/>
      </c>
      <c r="D890" s="57"/>
      <c r="E890" s="58"/>
      <c r="F890" s="59"/>
      <c r="G890" s="10"/>
      <c r="H890" s="55"/>
      <c r="I890" s="28"/>
      <c r="J890" s="28" t="s">
        <v>646</v>
      </c>
    </row>
    <row r="891" ht="22.5" customHeight="1">
      <c r="A891" s="9"/>
      <c r="B891" s="56"/>
      <c r="C891" s="13" t="str">
        <f>IFERROR(__xludf.DUMMYFUNCTION("IF(B891="""","""",LOWER(REGEXREPLACE(B891,""[^A-Za-z0-9]"",""""))&amp;""-""&amp;TEXT(COUNTIF($B$2:B891,B891),""000""))"),"")</f>
        <v/>
      </c>
      <c r="D891" s="57"/>
      <c r="E891" s="58"/>
      <c r="F891" s="59"/>
      <c r="G891" s="10"/>
      <c r="H891" s="55"/>
      <c r="I891" s="28"/>
      <c r="J891" s="28" t="s">
        <v>646</v>
      </c>
    </row>
    <row r="892" ht="22.5" customHeight="1">
      <c r="A892" s="9"/>
      <c r="B892" s="56"/>
      <c r="C892" s="13" t="str">
        <f>IFERROR(__xludf.DUMMYFUNCTION("IF(B892="""","""",LOWER(REGEXREPLACE(B892,""[^A-Za-z0-9]"",""""))&amp;""-""&amp;TEXT(COUNTIF($B$2:B892,B892),""000""))"),"")</f>
        <v/>
      </c>
      <c r="D892" s="57"/>
      <c r="E892" s="58"/>
      <c r="F892" s="59"/>
      <c r="G892" s="10"/>
      <c r="H892" s="55"/>
      <c r="I892" s="28"/>
      <c r="J892" s="28" t="s">
        <v>646</v>
      </c>
    </row>
    <row r="893" ht="22.5" customHeight="1">
      <c r="A893" s="9"/>
      <c r="B893" s="56"/>
      <c r="C893" s="13" t="str">
        <f>IFERROR(__xludf.DUMMYFUNCTION("IF(B893="""","""",LOWER(REGEXREPLACE(B893,""[^A-Za-z0-9]"",""""))&amp;""-""&amp;TEXT(COUNTIF($B$2:B893,B893),""000""))"),"")</f>
        <v/>
      </c>
      <c r="D893" s="57"/>
      <c r="E893" s="58"/>
      <c r="F893" s="59"/>
      <c r="G893" s="10"/>
      <c r="H893" s="55"/>
      <c r="I893" s="28"/>
      <c r="J893" s="28" t="s">
        <v>646</v>
      </c>
    </row>
    <row r="894" ht="22.5" customHeight="1">
      <c r="A894" s="9"/>
      <c r="B894" s="56"/>
      <c r="C894" s="13" t="str">
        <f>IFERROR(__xludf.DUMMYFUNCTION("IF(B894="""","""",LOWER(REGEXREPLACE(B894,""[^A-Za-z0-9]"",""""))&amp;""-""&amp;TEXT(COUNTIF($B$2:B894,B894),""000""))"),"")</f>
        <v/>
      </c>
      <c r="D894" s="57"/>
      <c r="E894" s="58"/>
      <c r="F894" s="59"/>
      <c r="G894" s="10"/>
      <c r="H894" s="55"/>
      <c r="I894" s="28"/>
      <c r="J894" s="28" t="s">
        <v>646</v>
      </c>
    </row>
    <row r="895" ht="22.5" customHeight="1">
      <c r="A895" s="9"/>
      <c r="B895" s="56"/>
      <c r="C895" s="13" t="str">
        <f>IFERROR(__xludf.DUMMYFUNCTION("IF(B895="""","""",LOWER(REGEXREPLACE(B895,""[^A-Za-z0-9]"",""""))&amp;""-""&amp;TEXT(COUNTIF($B$2:B895,B895),""000""))"),"")</f>
        <v/>
      </c>
      <c r="D895" s="57"/>
      <c r="E895" s="58"/>
      <c r="F895" s="59"/>
      <c r="G895" s="10"/>
      <c r="H895" s="55"/>
      <c r="I895" s="28"/>
      <c r="J895" s="28" t="s">
        <v>646</v>
      </c>
    </row>
    <row r="896" ht="22.5" customHeight="1">
      <c r="A896" s="9"/>
      <c r="B896" s="56"/>
      <c r="C896" s="13" t="str">
        <f>IFERROR(__xludf.DUMMYFUNCTION("IF(B896="""","""",LOWER(REGEXREPLACE(B896,""[^A-Za-z0-9]"",""""))&amp;""-""&amp;TEXT(COUNTIF($B$2:B896,B896),""000""))"),"")</f>
        <v/>
      </c>
      <c r="D896" s="57"/>
      <c r="E896" s="58"/>
      <c r="F896" s="59"/>
      <c r="G896" s="10"/>
      <c r="H896" s="55"/>
      <c r="I896" s="28"/>
      <c r="J896" s="28" t="s">
        <v>646</v>
      </c>
    </row>
    <row r="897" ht="22.5" customHeight="1">
      <c r="A897" s="9"/>
      <c r="B897" s="56"/>
      <c r="C897" s="13" t="str">
        <f>IFERROR(__xludf.DUMMYFUNCTION("IF(B897="""","""",LOWER(REGEXREPLACE(B897,""[^A-Za-z0-9]"",""""))&amp;""-""&amp;TEXT(COUNTIF($B$2:B897,B897),""000""))"),"")</f>
        <v/>
      </c>
      <c r="D897" s="57"/>
      <c r="E897" s="58"/>
      <c r="F897" s="59"/>
      <c r="G897" s="10"/>
      <c r="H897" s="55"/>
      <c r="I897" s="28"/>
      <c r="J897" s="28" t="s">
        <v>646</v>
      </c>
    </row>
    <row r="898" ht="22.5" customHeight="1">
      <c r="A898" s="9"/>
      <c r="B898" s="56"/>
      <c r="C898" s="13" t="str">
        <f>IFERROR(__xludf.DUMMYFUNCTION("IF(B898="""","""",LOWER(REGEXREPLACE(B898,""[^A-Za-z0-9]"",""""))&amp;""-""&amp;TEXT(COUNTIF($B$2:B898,B898),""000""))"),"")</f>
        <v/>
      </c>
      <c r="D898" s="57"/>
      <c r="E898" s="58"/>
      <c r="F898" s="59"/>
      <c r="G898" s="10"/>
      <c r="H898" s="55"/>
      <c r="I898" s="28"/>
      <c r="J898" s="28" t="s">
        <v>646</v>
      </c>
    </row>
    <row r="899" ht="22.5" customHeight="1">
      <c r="A899" s="9"/>
      <c r="B899" s="56"/>
      <c r="C899" s="13" t="str">
        <f>IFERROR(__xludf.DUMMYFUNCTION("IF(B899="""","""",LOWER(REGEXREPLACE(B899,""[^A-Za-z0-9]"",""""))&amp;""-""&amp;TEXT(COUNTIF($B$2:B899,B899),""000""))"),"")</f>
        <v/>
      </c>
      <c r="D899" s="57"/>
      <c r="E899" s="58"/>
      <c r="F899" s="59"/>
      <c r="G899" s="10"/>
      <c r="H899" s="55"/>
      <c r="I899" s="28"/>
      <c r="J899" s="28" t="s">
        <v>646</v>
      </c>
    </row>
    <row r="900" ht="22.5" customHeight="1">
      <c r="A900" s="9"/>
      <c r="B900" s="56"/>
      <c r="C900" s="13" t="str">
        <f>IFERROR(__xludf.DUMMYFUNCTION("IF(B900="""","""",LOWER(REGEXREPLACE(B900,""[^A-Za-z0-9]"",""""))&amp;""-""&amp;TEXT(COUNTIF($B$2:B900,B900),""000""))"),"")</f>
        <v/>
      </c>
      <c r="D900" s="57"/>
      <c r="E900" s="58"/>
      <c r="F900" s="59"/>
      <c r="G900" s="10"/>
      <c r="H900" s="55"/>
      <c r="I900" s="28"/>
      <c r="J900" s="28" t="s">
        <v>646</v>
      </c>
    </row>
    <row r="901" ht="22.5" customHeight="1">
      <c r="A901" s="9"/>
      <c r="B901" s="56"/>
      <c r="C901" s="13" t="str">
        <f>IFERROR(__xludf.DUMMYFUNCTION("IF(B901="""","""",LOWER(REGEXREPLACE(B901,""[^A-Za-z0-9]"",""""))&amp;""-""&amp;TEXT(COUNTIF($B$2:B901,B901),""000""))"),"")</f>
        <v/>
      </c>
      <c r="D901" s="57"/>
      <c r="E901" s="58"/>
      <c r="F901" s="59"/>
      <c r="G901" s="10"/>
      <c r="H901" s="55"/>
      <c r="I901" s="28"/>
      <c r="J901" s="28" t="s">
        <v>646</v>
      </c>
    </row>
    <row r="902" ht="22.5" customHeight="1">
      <c r="A902" s="9"/>
      <c r="B902" s="56"/>
      <c r="C902" s="13" t="str">
        <f>IFERROR(__xludf.DUMMYFUNCTION("IF(B902="""","""",LOWER(REGEXREPLACE(B902,""[^A-Za-z0-9]"",""""))&amp;""-""&amp;TEXT(COUNTIF($B$2:B902,B902),""000""))"),"")</f>
        <v/>
      </c>
      <c r="D902" s="57"/>
      <c r="E902" s="58"/>
      <c r="F902" s="59"/>
      <c r="G902" s="10"/>
      <c r="H902" s="55"/>
      <c r="I902" s="28"/>
      <c r="J902" s="28" t="s">
        <v>646</v>
      </c>
    </row>
    <row r="903" ht="22.5" customHeight="1">
      <c r="A903" s="9"/>
      <c r="B903" s="56"/>
      <c r="C903" s="13" t="str">
        <f>IFERROR(__xludf.DUMMYFUNCTION("IF(B903="""","""",LOWER(REGEXREPLACE(B903,""[^A-Za-z0-9]"",""""))&amp;""-""&amp;TEXT(COUNTIF($B$2:B903,B903),""000""))"),"")</f>
        <v/>
      </c>
      <c r="D903" s="57"/>
      <c r="E903" s="58"/>
      <c r="F903" s="59"/>
      <c r="G903" s="10"/>
      <c r="H903" s="55"/>
      <c r="I903" s="28"/>
      <c r="J903" s="28" t="s">
        <v>646</v>
      </c>
    </row>
    <row r="904" ht="22.5" customHeight="1">
      <c r="A904" s="9"/>
      <c r="B904" s="56"/>
      <c r="C904" s="13" t="str">
        <f>IFERROR(__xludf.DUMMYFUNCTION("IF(B904="""","""",LOWER(REGEXREPLACE(B904,""[^A-Za-z0-9]"",""""))&amp;""-""&amp;TEXT(COUNTIF($B$2:B904,B904),""000""))"),"")</f>
        <v/>
      </c>
      <c r="D904" s="57"/>
      <c r="E904" s="58"/>
      <c r="F904" s="59"/>
      <c r="G904" s="10"/>
      <c r="H904" s="55"/>
      <c r="I904" s="28"/>
      <c r="J904" s="28" t="s">
        <v>646</v>
      </c>
    </row>
    <row r="905" ht="22.5" customHeight="1">
      <c r="A905" s="9"/>
      <c r="B905" s="56"/>
      <c r="C905" s="13" t="str">
        <f>IFERROR(__xludf.DUMMYFUNCTION("IF(B905="""","""",LOWER(REGEXREPLACE(B905,""[^A-Za-z0-9]"",""""))&amp;""-""&amp;TEXT(COUNTIF($B$2:B905,B905),""000""))"),"")</f>
        <v/>
      </c>
      <c r="D905" s="57"/>
      <c r="E905" s="58"/>
      <c r="F905" s="59"/>
      <c r="G905" s="10"/>
      <c r="H905" s="55"/>
      <c r="I905" s="28"/>
      <c r="J905" s="28" t="s">
        <v>646</v>
      </c>
    </row>
    <row r="906" ht="22.5" customHeight="1">
      <c r="A906" s="9"/>
      <c r="B906" s="56"/>
      <c r="C906" s="13" t="str">
        <f>IFERROR(__xludf.DUMMYFUNCTION("IF(B906="""","""",LOWER(REGEXREPLACE(B906,""[^A-Za-z0-9]"",""""))&amp;""-""&amp;TEXT(COUNTIF($B$2:B906,B906),""000""))"),"")</f>
        <v/>
      </c>
      <c r="D906" s="57"/>
      <c r="E906" s="58"/>
      <c r="F906" s="59"/>
      <c r="G906" s="10"/>
      <c r="H906" s="55"/>
      <c r="I906" s="28"/>
      <c r="J906" s="28" t="s">
        <v>646</v>
      </c>
    </row>
    <row r="907" ht="22.5" customHeight="1">
      <c r="A907" s="9"/>
      <c r="B907" s="56"/>
      <c r="C907" s="13" t="str">
        <f>IFERROR(__xludf.DUMMYFUNCTION("IF(B907="""","""",LOWER(REGEXREPLACE(B907,""[^A-Za-z0-9]"",""""))&amp;""-""&amp;TEXT(COUNTIF($B$2:B907,B907),""000""))"),"")</f>
        <v/>
      </c>
      <c r="D907" s="57"/>
      <c r="E907" s="58"/>
      <c r="F907" s="59"/>
      <c r="G907" s="10"/>
      <c r="H907" s="55"/>
      <c r="I907" s="28"/>
      <c r="J907" s="28" t="s">
        <v>646</v>
      </c>
    </row>
    <row r="908" ht="22.5" customHeight="1">
      <c r="A908" s="9"/>
      <c r="B908" s="56"/>
      <c r="C908" s="13" t="str">
        <f>IFERROR(__xludf.DUMMYFUNCTION("IF(B908="""","""",LOWER(REGEXREPLACE(B908,""[^A-Za-z0-9]"",""""))&amp;""-""&amp;TEXT(COUNTIF($B$2:B908,B908),""000""))"),"")</f>
        <v/>
      </c>
      <c r="D908" s="57"/>
      <c r="E908" s="58"/>
      <c r="F908" s="59"/>
      <c r="G908" s="10"/>
      <c r="H908" s="55"/>
      <c r="I908" s="28"/>
      <c r="J908" s="28" t="s">
        <v>646</v>
      </c>
    </row>
    <row r="909" ht="22.5" customHeight="1">
      <c r="A909" s="9"/>
      <c r="B909" s="56"/>
      <c r="C909" s="13" t="str">
        <f>IFERROR(__xludf.DUMMYFUNCTION("IF(B909="""","""",LOWER(REGEXREPLACE(B909,""[^A-Za-z0-9]"",""""))&amp;""-""&amp;TEXT(COUNTIF($B$2:B909,B909),""000""))"),"")</f>
        <v/>
      </c>
      <c r="D909" s="57"/>
      <c r="E909" s="58"/>
      <c r="F909" s="59"/>
      <c r="G909" s="10"/>
      <c r="H909" s="55"/>
      <c r="I909" s="28"/>
      <c r="J909" s="28" t="s">
        <v>646</v>
      </c>
    </row>
    <row r="910" ht="22.5" customHeight="1">
      <c r="A910" s="9"/>
      <c r="B910" s="56"/>
      <c r="C910" s="13" t="str">
        <f>IFERROR(__xludf.DUMMYFUNCTION("IF(B910="""","""",LOWER(REGEXREPLACE(B910,""[^A-Za-z0-9]"",""""))&amp;""-""&amp;TEXT(COUNTIF($B$2:B910,B910),""000""))"),"")</f>
        <v/>
      </c>
      <c r="D910" s="57"/>
      <c r="E910" s="58"/>
      <c r="F910" s="59"/>
      <c r="G910" s="10"/>
      <c r="H910" s="55"/>
      <c r="I910" s="28"/>
      <c r="J910" s="28" t="s">
        <v>646</v>
      </c>
    </row>
    <row r="911" ht="22.5" customHeight="1">
      <c r="A911" s="9"/>
      <c r="B911" s="56"/>
      <c r="C911" s="13" t="str">
        <f>IFERROR(__xludf.DUMMYFUNCTION("IF(B911="""","""",LOWER(REGEXREPLACE(B911,""[^A-Za-z0-9]"",""""))&amp;""-""&amp;TEXT(COUNTIF($B$2:B911,B911),""000""))"),"")</f>
        <v/>
      </c>
      <c r="D911" s="57"/>
      <c r="E911" s="58"/>
      <c r="F911" s="59"/>
      <c r="G911" s="10"/>
      <c r="H911" s="55"/>
      <c r="I911" s="28"/>
      <c r="J911" s="28" t="s">
        <v>646</v>
      </c>
    </row>
    <row r="912" ht="22.5" customHeight="1">
      <c r="A912" s="9"/>
      <c r="B912" s="56"/>
      <c r="C912" s="13" t="str">
        <f>IFERROR(__xludf.DUMMYFUNCTION("IF(B912="""","""",LOWER(REGEXREPLACE(B912,""[^A-Za-z0-9]"",""""))&amp;""-""&amp;TEXT(COUNTIF($B$2:B912,B912),""000""))"),"")</f>
        <v/>
      </c>
      <c r="D912" s="57"/>
      <c r="E912" s="58"/>
      <c r="F912" s="59"/>
      <c r="G912" s="10"/>
      <c r="H912" s="55"/>
      <c r="I912" s="28"/>
      <c r="J912" s="28" t="s">
        <v>646</v>
      </c>
    </row>
    <row r="913" ht="22.5" customHeight="1">
      <c r="A913" s="9"/>
      <c r="B913" s="56"/>
      <c r="C913" s="13" t="str">
        <f>IFERROR(__xludf.DUMMYFUNCTION("IF(B913="""","""",LOWER(REGEXREPLACE(B913,""[^A-Za-z0-9]"",""""))&amp;""-""&amp;TEXT(COUNTIF($B$2:B913,B913),""000""))"),"")</f>
        <v/>
      </c>
      <c r="D913" s="57"/>
      <c r="E913" s="58"/>
      <c r="F913" s="59"/>
      <c r="G913" s="10"/>
      <c r="H913" s="55"/>
      <c r="I913" s="28"/>
      <c r="J913" s="28" t="s">
        <v>646</v>
      </c>
    </row>
    <row r="914" ht="22.5" customHeight="1">
      <c r="A914" s="9"/>
      <c r="B914" s="56"/>
      <c r="C914" s="13" t="str">
        <f>IFERROR(__xludf.DUMMYFUNCTION("IF(B914="""","""",LOWER(REGEXREPLACE(B914,""[^A-Za-z0-9]"",""""))&amp;""-""&amp;TEXT(COUNTIF($B$2:B914,B914),""000""))"),"")</f>
        <v/>
      </c>
      <c r="D914" s="57"/>
      <c r="E914" s="58"/>
      <c r="F914" s="59"/>
      <c r="G914" s="10"/>
      <c r="H914" s="55"/>
      <c r="I914" s="28"/>
      <c r="J914" s="28" t="s">
        <v>646</v>
      </c>
    </row>
    <row r="915" ht="22.5" customHeight="1">
      <c r="A915" s="9"/>
      <c r="B915" s="56"/>
      <c r="C915" s="13" t="str">
        <f>IFERROR(__xludf.DUMMYFUNCTION("IF(B915="""","""",LOWER(REGEXREPLACE(B915,""[^A-Za-z0-9]"",""""))&amp;""-""&amp;TEXT(COUNTIF($B$2:B915,B915),""000""))"),"")</f>
        <v/>
      </c>
      <c r="D915" s="57"/>
      <c r="E915" s="58"/>
      <c r="F915" s="59"/>
      <c r="G915" s="10"/>
      <c r="H915" s="55"/>
      <c r="I915" s="28"/>
      <c r="J915" s="28" t="s">
        <v>646</v>
      </c>
    </row>
    <row r="916" ht="22.5" customHeight="1">
      <c r="A916" s="9"/>
      <c r="B916" s="56"/>
      <c r="C916" s="13" t="str">
        <f>IFERROR(__xludf.DUMMYFUNCTION("IF(B916="""","""",LOWER(REGEXREPLACE(B916,""[^A-Za-z0-9]"",""""))&amp;""-""&amp;TEXT(COUNTIF($B$2:B916,B916),""000""))"),"")</f>
        <v/>
      </c>
      <c r="D916" s="57"/>
      <c r="E916" s="58"/>
      <c r="F916" s="59"/>
      <c r="G916" s="10"/>
      <c r="H916" s="55"/>
      <c r="I916" s="28"/>
      <c r="J916" s="28" t="s">
        <v>646</v>
      </c>
    </row>
    <row r="917" ht="22.5" customHeight="1">
      <c r="A917" s="9"/>
      <c r="B917" s="56"/>
      <c r="C917" s="13" t="str">
        <f>IFERROR(__xludf.DUMMYFUNCTION("IF(B917="""","""",LOWER(REGEXREPLACE(B917,""[^A-Za-z0-9]"",""""))&amp;""-""&amp;TEXT(COUNTIF($B$2:B917,B917),""000""))"),"")</f>
        <v/>
      </c>
      <c r="D917" s="57"/>
      <c r="E917" s="58"/>
      <c r="F917" s="59"/>
      <c r="G917" s="10"/>
      <c r="H917" s="55"/>
      <c r="I917" s="28"/>
      <c r="J917" s="28" t="s">
        <v>646</v>
      </c>
    </row>
    <row r="918" ht="22.5" customHeight="1">
      <c r="A918" s="9"/>
      <c r="B918" s="56"/>
      <c r="C918" s="13" t="str">
        <f>IFERROR(__xludf.DUMMYFUNCTION("IF(B918="""","""",LOWER(REGEXREPLACE(B918,""[^A-Za-z0-9]"",""""))&amp;""-""&amp;TEXT(COUNTIF($B$2:B918,B918),""000""))"),"")</f>
        <v/>
      </c>
      <c r="D918" s="57"/>
      <c r="E918" s="58"/>
      <c r="F918" s="59"/>
      <c r="G918" s="10"/>
      <c r="H918" s="55"/>
      <c r="I918" s="28"/>
      <c r="J918" s="28" t="s">
        <v>646</v>
      </c>
    </row>
    <row r="919" ht="22.5" customHeight="1">
      <c r="A919" s="9"/>
      <c r="B919" s="56"/>
      <c r="C919" s="13" t="str">
        <f>IFERROR(__xludf.DUMMYFUNCTION("IF(B919="""","""",LOWER(REGEXREPLACE(B919,""[^A-Za-z0-9]"",""""))&amp;""-""&amp;TEXT(COUNTIF($B$2:B919,B919),""000""))"),"")</f>
        <v/>
      </c>
      <c r="D919" s="57"/>
      <c r="E919" s="58"/>
      <c r="F919" s="59"/>
      <c r="G919" s="10"/>
      <c r="H919" s="55"/>
      <c r="I919" s="28"/>
      <c r="J919" s="28" t="s">
        <v>646</v>
      </c>
    </row>
    <row r="920" ht="22.5" customHeight="1">
      <c r="A920" s="9"/>
      <c r="B920" s="56"/>
      <c r="C920" s="13" t="str">
        <f>IFERROR(__xludf.DUMMYFUNCTION("IF(B920="""","""",LOWER(REGEXREPLACE(B920,""[^A-Za-z0-9]"",""""))&amp;""-""&amp;TEXT(COUNTIF($B$2:B920,B920),""000""))"),"")</f>
        <v/>
      </c>
      <c r="D920" s="57"/>
      <c r="E920" s="58"/>
      <c r="F920" s="59"/>
      <c r="G920" s="10"/>
      <c r="H920" s="55"/>
      <c r="I920" s="28"/>
      <c r="J920" s="28" t="s">
        <v>646</v>
      </c>
    </row>
    <row r="921" ht="22.5" customHeight="1">
      <c r="A921" s="9"/>
      <c r="B921" s="56"/>
      <c r="C921" s="13" t="str">
        <f>IFERROR(__xludf.DUMMYFUNCTION("IF(B921="""","""",LOWER(REGEXREPLACE(B921,""[^A-Za-z0-9]"",""""))&amp;""-""&amp;TEXT(COUNTIF($B$2:B921,B921),""000""))"),"")</f>
        <v/>
      </c>
      <c r="D921" s="57"/>
      <c r="E921" s="58"/>
      <c r="F921" s="59"/>
      <c r="G921" s="10"/>
      <c r="H921" s="55"/>
      <c r="I921" s="28"/>
      <c r="J921" s="28" t="s">
        <v>646</v>
      </c>
    </row>
    <row r="922" ht="22.5" customHeight="1">
      <c r="A922" s="9"/>
      <c r="B922" s="56"/>
      <c r="C922" s="13" t="str">
        <f>IFERROR(__xludf.DUMMYFUNCTION("IF(B922="""","""",LOWER(REGEXREPLACE(B922,""[^A-Za-z0-9]"",""""))&amp;""-""&amp;TEXT(COUNTIF($B$2:B922,B922),""000""))"),"")</f>
        <v/>
      </c>
      <c r="D922" s="57"/>
      <c r="E922" s="58"/>
      <c r="F922" s="59"/>
      <c r="G922" s="10"/>
      <c r="H922" s="55"/>
      <c r="I922" s="28"/>
      <c r="J922" s="28" t="s">
        <v>646</v>
      </c>
    </row>
    <row r="923" ht="22.5" customHeight="1">
      <c r="A923" s="9"/>
      <c r="B923" s="56"/>
      <c r="C923" s="13" t="str">
        <f>IFERROR(__xludf.DUMMYFUNCTION("IF(B923="""","""",LOWER(REGEXREPLACE(B923,""[^A-Za-z0-9]"",""""))&amp;""-""&amp;TEXT(COUNTIF($B$2:B923,B923),""000""))"),"")</f>
        <v/>
      </c>
      <c r="D923" s="57"/>
      <c r="E923" s="58"/>
      <c r="F923" s="59"/>
      <c r="G923" s="10"/>
      <c r="H923" s="55"/>
      <c r="I923" s="28"/>
      <c r="J923" s="28" t="s">
        <v>646</v>
      </c>
    </row>
    <row r="924" ht="22.5" customHeight="1">
      <c r="A924" s="9"/>
      <c r="B924" s="56"/>
      <c r="C924" s="13" t="str">
        <f>IFERROR(__xludf.DUMMYFUNCTION("IF(B924="""","""",LOWER(REGEXREPLACE(B924,""[^A-Za-z0-9]"",""""))&amp;""-""&amp;TEXT(COUNTIF($B$2:B924,B924),""000""))"),"")</f>
        <v/>
      </c>
      <c r="D924" s="57"/>
      <c r="E924" s="58"/>
      <c r="F924" s="59"/>
      <c r="G924" s="10"/>
      <c r="H924" s="55"/>
      <c r="I924" s="28"/>
      <c r="J924" s="28" t="s">
        <v>646</v>
      </c>
    </row>
    <row r="925" ht="22.5" customHeight="1">
      <c r="A925" s="9"/>
      <c r="B925" s="56"/>
      <c r="C925" s="13" t="str">
        <f>IFERROR(__xludf.DUMMYFUNCTION("IF(B925="""","""",LOWER(REGEXREPLACE(B925,""[^A-Za-z0-9]"",""""))&amp;""-""&amp;TEXT(COUNTIF($B$2:B925,B925),""000""))"),"")</f>
        <v/>
      </c>
      <c r="D925" s="57"/>
      <c r="E925" s="58"/>
      <c r="F925" s="59"/>
      <c r="G925" s="10"/>
      <c r="H925" s="55"/>
      <c r="I925" s="28"/>
      <c r="J925" s="28" t="s">
        <v>646</v>
      </c>
    </row>
    <row r="926" ht="22.5" customHeight="1">
      <c r="A926" s="9"/>
      <c r="B926" s="56"/>
      <c r="C926" s="13" t="str">
        <f>IFERROR(__xludf.DUMMYFUNCTION("IF(B926="""","""",LOWER(REGEXREPLACE(B926,""[^A-Za-z0-9]"",""""))&amp;""-""&amp;TEXT(COUNTIF($B$2:B926,B926),""000""))"),"")</f>
        <v/>
      </c>
      <c r="D926" s="57"/>
      <c r="E926" s="58"/>
      <c r="F926" s="59"/>
      <c r="G926" s="10"/>
      <c r="H926" s="55"/>
      <c r="I926" s="28"/>
      <c r="J926" s="28" t="s">
        <v>646</v>
      </c>
    </row>
    <row r="927" ht="22.5" customHeight="1">
      <c r="A927" s="9"/>
      <c r="B927" s="56"/>
      <c r="C927" s="13" t="str">
        <f>IFERROR(__xludf.DUMMYFUNCTION("IF(B927="""","""",LOWER(REGEXREPLACE(B927,""[^A-Za-z0-9]"",""""))&amp;""-""&amp;TEXT(COUNTIF($B$2:B927,B927),""000""))"),"")</f>
        <v/>
      </c>
      <c r="D927" s="57"/>
      <c r="E927" s="58"/>
      <c r="F927" s="59"/>
      <c r="G927" s="10"/>
      <c r="H927" s="55"/>
      <c r="I927" s="28"/>
      <c r="J927" s="28" t="s">
        <v>646</v>
      </c>
    </row>
    <row r="928" ht="22.5" customHeight="1">
      <c r="A928" s="9"/>
      <c r="B928" s="56"/>
      <c r="C928" s="13" t="str">
        <f>IFERROR(__xludf.DUMMYFUNCTION("IF(B928="""","""",LOWER(REGEXREPLACE(B928,""[^A-Za-z0-9]"",""""))&amp;""-""&amp;TEXT(COUNTIF($B$2:B928,B928),""000""))"),"")</f>
        <v/>
      </c>
      <c r="D928" s="57"/>
      <c r="E928" s="58"/>
      <c r="F928" s="59"/>
      <c r="G928" s="10"/>
      <c r="H928" s="55"/>
      <c r="I928" s="28"/>
      <c r="J928" s="28" t="s">
        <v>646</v>
      </c>
    </row>
    <row r="929" ht="22.5" customHeight="1">
      <c r="A929" s="9"/>
      <c r="B929" s="56"/>
      <c r="C929" s="13" t="str">
        <f>IFERROR(__xludf.DUMMYFUNCTION("IF(B929="""","""",LOWER(REGEXREPLACE(B929,""[^A-Za-z0-9]"",""""))&amp;""-""&amp;TEXT(COUNTIF($B$2:B929,B929),""000""))"),"")</f>
        <v/>
      </c>
      <c r="D929" s="57"/>
      <c r="E929" s="58"/>
      <c r="F929" s="59"/>
      <c r="G929" s="10"/>
      <c r="H929" s="55"/>
      <c r="I929" s="28"/>
      <c r="J929" s="28" t="s">
        <v>646</v>
      </c>
    </row>
    <row r="930" ht="22.5" customHeight="1">
      <c r="A930" s="9"/>
      <c r="B930" s="56"/>
      <c r="C930" s="13" t="str">
        <f>IFERROR(__xludf.DUMMYFUNCTION("IF(B930="""","""",LOWER(REGEXREPLACE(B930,""[^A-Za-z0-9]"",""""))&amp;""-""&amp;TEXT(COUNTIF($B$2:B930,B930),""000""))"),"")</f>
        <v/>
      </c>
      <c r="D930" s="57"/>
      <c r="E930" s="58"/>
      <c r="F930" s="59"/>
      <c r="G930" s="10"/>
      <c r="H930" s="55"/>
      <c r="I930" s="28"/>
      <c r="J930" s="28" t="s">
        <v>646</v>
      </c>
    </row>
    <row r="931" ht="22.5" customHeight="1">
      <c r="A931" s="9"/>
      <c r="B931" s="56"/>
      <c r="C931" s="13" t="str">
        <f>IFERROR(__xludf.DUMMYFUNCTION("IF(B931="""","""",LOWER(REGEXREPLACE(B931,""[^A-Za-z0-9]"",""""))&amp;""-""&amp;TEXT(COUNTIF($B$2:B931,B931),""000""))"),"")</f>
        <v/>
      </c>
      <c r="D931" s="57"/>
      <c r="E931" s="58"/>
      <c r="F931" s="59"/>
      <c r="G931" s="10"/>
      <c r="H931" s="55"/>
      <c r="I931" s="28"/>
      <c r="J931" s="28" t="s">
        <v>646</v>
      </c>
    </row>
    <row r="932" ht="22.5" customHeight="1">
      <c r="A932" s="9"/>
      <c r="B932" s="56"/>
      <c r="C932" s="13" t="str">
        <f>IFERROR(__xludf.DUMMYFUNCTION("IF(B932="""","""",LOWER(REGEXREPLACE(B932,""[^A-Za-z0-9]"",""""))&amp;""-""&amp;TEXT(COUNTIF($B$2:B932,B932),""000""))"),"")</f>
        <v/>
      </c>
      <c r="D932" s="57"/>
      <c r="E932" s="58"/>
      <c r="F932" s="59"/>
      <c r="G932" s="10"/>
      <c r="H932" s="55"/>
      <c r="I932" s="28"/>
      <c r="J932" s="28" t="s">
        <v>646</v>
      </c>
    </row>
    <row r="933" ht="22.5" customHeight="1">
      <c r="A933" s="9"/>
      <c r="B933" s="56"/>
      <c r="C933" s="13" t="str">
        <f>IFERROR(__xludf.DUMMYFUNCTION("IF(B933="""","""",LOWER(REGEXREPLACE(B933,""[^A-Za-z0-9]"",""""))&amp;""-""&amp;TEXT(COUNTIF($B$2:B933,B933),""000""))"),"")</f>
        <v/>
      </c>
      <c r="D933" s="57"/>
      <c r="E933" s="58"/>
      <c r="F933" s="59"/>
      <c r="G933" s="10"/>
      <c r="H933" s="55"/>
      <c r="I933" s="28"/>
      <c r="J933" s="28" t="s">
        <v>646</v>
      </c>
    </row>
    <row r="934" ht="22.5" customHeight="1">
      <c r="A934" s="9"/>
      <c r="B934" s="56"/>
      <c r="C934" s="13" t="str">
        <f>IFERROR(__xludf.DUMMYFUNCTION("IF(B934="""","""",LOWER(REGEXREPLACE(B934,""[^A-Za-z0-9]"",""""))&amp;""-""&amp;TEXT(COUNTIF($B$2:B934,B934),""000""))"),"")</f>
        <v/>
      </c>
      <c r="D934" s="57"/>
      <c r="E934" s="58"/>
      <c r="F934" s="59"/>
      <c r="G934" s="10"/>
      <c r="H934" s="55"/>
      <c r="I934" s="28"/>
      <c r="J934" s="28" t="s">
        <v>646</v>
      </c>
    </row>
    <row r="935" ht="22.5" customHeight="1">
      <c r="A935" s="9"/>
      <c r="B935" s="56"/>
      <c r="C935" s="13" t="str">
        <f>IFERROR(__xludf.DUMMYFUNCTION("IF(B935="""","""",LOWER(REGEXREPLACE(B935,""[^A-Za-z0-9]"",""""))&amp;""-""&amp;TEXT(COUNTIF($B$2:B935,B935),""000""))"),"")</f>
        <v/>
      </c>
      <c r="D935" s="57"/>
      <c r="E935" s="58"/>
      <c r="F935" s="59"/>
      <c r="G935" s="10"/>
      <c r="H935" s="55"/>
      <c r="I935" s="28"/>
      <c r="J935" s="28" t="s">
        <v>646</v>
      </c>
    </row>
    <row r="936" ht="22.5" customHeight="1">
      <c r="A936" s="9"/>
      <c r="B936" s="56"/>
      <c r="C936" s="13" t="str">
        <f>IFERROR(__xludf.DUMMYFUNCTION("IF(B936="""","""",LOWER(REGEXREPLACE(B936,""[^A-Za-z0-9]"",""""))&amp;""-""&amp;TEXT(COUNTIF($B$2:B936,B936),""000""))"),"")</f>
        <v/>
      </c>
      <c r="D936" s="57"/>
      <c r="E936" s="58"/>
      <c r="F936" s="59"/>
      <c r="G936" s="10"/>
      <c r="H936" s="55"/>
      <c r="I936" s="28"/>
      <c r="J936" s="28" t="s">
        <v>646</v>
      </c>
    </row>
    <row r="937" ht="22.5" customHeight="1">
      <c r="A937" s="9"/>
      <c r="B937" s="56"/>
      <c r="C937" s="13" t="str">
        <f>IFERROR(__xludf.DUMMYFUNCTION("IF(B937="""","""",LOWER(REGEXREPLACE(B937,""[^A-Za-z0-9]"",""""))&amp;""-""&amp;TEXT(COUNTIF($B$2:B937,B937),""000""))"),"")</f>
        <v/>
      </c>
      <c r="D937" s="57"/>
      <c r="E937" s="58"/>
      <c r="F937" s="59"/>
      <c r="G937" s="10"/>
      <c r="H937" s="55"/>
      <c r="I937" s="28"/>
      <c r="J937" s="28" t="s">
        <v>646</v>
      </c>
    </row>
    <row r="938" ht="22.5" customHeight="1">
      <c r="A938" s="9"/>
      <c r="B938" s="56"/>
      <c r="C938" s="13" t="str">
        <f>IFERROR(__xludf.DUMMYFUNCTION("IF(B938="""","""",LOWER(REGEXREPLACE(B938,""[^A-Za-z0-9]"",""""))&amp;""-""&amp;TEXT(COUNTIF($B$2:B938,B938),""000""))"),"")</f>
        <v/>
      </c>
      <c r="D938" s="57"/>
      <c r="E938" s="58"/>
      <c r="F938" s="59"/>
      <c r="G938" s="10"/>
      <c r="H938" s="55"/>
      <c r="I938" s="28"/>
      <c r="J938" s="28" t="s">
        <v>646</v>
      </c>
    </row>
    <row r="939" ht="22.5" customHeight="1">
      <c r="A939" s="9"/>
      <c r="B939" s="56"/>
      <c r="C939" s="13" t="str">
        <f>IFERROR(__xludf.DUMMYFUNCTION("IF(B939="""","""",LOWER(REGEXREPLACE(B939,""[^A-Za-z0-9]"",""""))&amp;""-""&amp;TEXT(COUNTIF($B$2:B939,B939),""000""))"),"")</f>
        <v/>
      </c>
      <c r="D939" s="57"/>
      <c r="E939" s="58"/>
      <c r="F939" s="59"/>
      <c r="G939" s="10"/>
      <c r="H939" s="55"/>
      <c r="I939" s="28"/>
      <c r="J939" s="28" t="s">
        <v>646</v>
      </c>
    </row>
    <row r="940" ht="22.5" customHeight="1">
      <c r="A940" s="9"/>
      <c r="B940" s="56"/>
      <c r="C940" s="13" t="str">
        <f>IFERROR(__xludf.DUMMYFUNCTION("IF(B940="""","""",LOWER(REGEXREPLACE(B940,""[^A-Za-z0-9]"",""""))&amp;""-""&amp;TEXT(COUNTIF($B$2:B940,B940),""000""))"),"")</f>
        <v/>
      </c>
      <c r="D940" s="57"/>
      <c r="E940" s="58"/>
      <c r="F940" s="59"/>
      <c r="G940" s="10"/>
      <c r="H940" s="55"/>
      <c r="I940" s="28"/>
      <c r="J940" s="28" t="s">
        <v>646</v>
      </c>
    </row>
    <row r="941" ht="22.5" customHeight="1">
      <c r="A941" s="9"/>
      <c r="B941" s="56"/>
      <c r="C941" s="13" t="str">
        <f>IFERROR(__xludf.DUMMYFUNCTION("IF(B941="""","""",LOWER(REGEXREPLACE(B941,""[^A-Za-z0-9]"",""""))&amp;""-""&amp;TEXT(COUNTIF($B$2:B941,B941),""000""))"),"")</f>
        <v/>
      </c>
      <c r="D941" s="57"/>
      <c r="E941" s="58"/>
      <c r="F941" s="59"/>
      <c r="G941" s="10"/>
      <c r="H941" s="55"/>
      <c r="I941" s="28"/>
      <c r="J941" s="28" t="s">
        <v>646</v>
      </c>
    </row>
    <row r="942" ht="22.5" customHeight="1">
      <c r="A942" s="9"/>
      <c r="B942" s="56"/>
      <c r="C942" s="13" t="str">
        <f>IFERROR(__xludf.DUMMYFUNCTION("IF(B942="""","""",LOWER(REGEXREPLACE(B942,""[^A-Za-z0-9]"",""""))&amp;""-""&amp;TEXT(COUNTIF($B$2:B942,B942),""000""))"),"")</f>
        <v/>
      </c>
      <c r="D942" s="57"/>
      <c r="E942" s="58"/>
      <c r="F942" s="59"/>
      <c r="G942" s="10"/>
      <c r="H942" s="55"/>
      <c r="I942" s="28"/>
      <c r="J942" s="28" t="s">
        <v>646</v>
      </c>
    </row>
    <row r="943" ht="22.5" customHeight="1">
      <c r="A943" s="9"/>
      <c r="B943" s="56"/>
      <c r="C943" s="13" t="str">
        <f>IFERROR(__xludf.DUMMYFUNCTION("IF(B943="""","""",LOWER(REGEXREPLACE(B943,""[^A-Za-z0-9]"",""""))&amp;""-""&amp;TEXT(COUNTIF($B$2:B943,B943),""000""))"),"")</f>
        <v/>
      </c>
      <c r="D943" s="57"/>
      <c r="E943" s="58"/>
      <c r="F943" s="59"/>
      <c r="G943" s="10"/>
      <c r="H943" s="55"/>
      <c r="I943" s="28"/>
      <c r="J943" s="28" t="s">
        <v>646</v>
      </c>
    </row>
    <row r="944" ht="22.5" customHeight="1">
      <c r="A944" s="9"/>
      <c r="B944" s="56"/>
      <c r="C944" s="13" t="str">
        <f>IFERROR(__xludf.DUMMYFUNCTION("IF(B944="""","""",LOWER(REGEXREPLACE(B944,""[^A-Za-z0-9]"",""""))&amp;""-""&amp;TEXT(COUNTIF($B$2:B944,B944),""000""))"),"")</f>
        <v/>
      </c>
      <c r="D944" s="57"/>
      <c r="E944" s="58"/>
      <c r="F944" s="59"/>
      <c r="G944" s="10"/>
      <c r="H944" s="55"/>
      <c r="I944" s="28"/>
      <c r="J944" s="28" t="s">
        <v>646</v>
      </c>
    </row>
    <row r="945" ht="22.5" customHeight="1">
      <c r="A945" s="9"/>
      <c r="B945" s="56"/>
      <c r="C945" s="13" t="str">
        <f>IFERROR(__xludf.DUMMYFUNCTION("IF(B945="""","""",LOWER(REGEXREPLACE(B945,""[^A-Za-z0-9]"",""""))&amp;""-""&amp;TEXT(COUNTIF($B$2:B945,B945),""000""))"),"")</f>
        <v/>
      </c>
      <c r="D945" s="57"/>
      <c r="E945" s="58"/>
      <c r="F945" s="59"/>
      <c r="G945" s="10"/>
      <c r="H945" s="55"/>
      <c r="I945" s="28"/>
      <c r="J945" s="28" t="s">
        <v>646</v>
      </c>
    </row>
    <row r="946" ht="22.5" customHeight="1">
      <c r="A946" s="9"/>
      <c r="B946" s="56"/>
      <c r="C946" s="13" t="str">
        <f>IFERROR(__xludf.DUMMYFUNCTION("IF(B946="""","""",LOWER(REGEXREPLACE(B946,""[^A-Za-z0-9]"",""""))&amp;""-""&amp;TEXT(COUNTIF($B$2:B946,B946),""000""))"),"")</f>
        <v/>
      </c>
      <c r="D946" s="57"/>
      <c r="E946" s="58"/>
      <c r="F946" s="59"/>
      <c r="G946" s="10"/>
      <c r="H946" s="55"/>
      <c r="I946" s="28"/>
      <c r="J946" s="28" t="s">
        <v>646</v>
      </c>
    </row>
    <row r="947" ht="22.5" customHeight="1">
      <c r="A947" s="9"/>
      <c r="B947" s="56"/>
      <c r="C947" s="13" t="str">
        <f>IFERROR(__xludf.DUMMYFUNCTION("IF(B947="""","""",LOWER(REGEXREPLACE(B947,""[^A-Za-z0-9]"",""""))&amp;""-""&amp;TEXT(COUNTIF($B$2:B947,B947),""000""))"),"")</f>
        <v/>
      </c>
      <c r="D947" s="57"/>
      <c r="E947" s="58"/>
      <c r="F947" s="59"/>
      <c r="G947" s="10"/>
      <c r="H947" s="55"/>
      <c r="I947" s="28"/>
      <c r="J947" s="28" t="s">
        <v>646</v>
      </c>
    </row>
    <row r="948" ht="22.5" customHeight="1">
      <c r="A948" s="9"/>
      <c r="B948" s="56"/>
      <c r="C948" s="13" t="str">
        <f>IFERROR(__xludf.DUMMYFUNCTION("IF(B948="""","""",LOWER(REGEXREPLACE(B948,""[^A-Za-z0-9]"",""""))&amp;""-""&amp;TEXT(COUNTIF($B$2:B948,B948),""000""))"),"")</f>
        <v/>
      </c>
      <c r="D948" s="57"/>
      <c r="E948" s="58"/>
      <c r="F948" s="59"/>
      <c r="G948" s="10"/>
      <c r="H948" s="55"/>
      <c r="I948" s="28"/>
      <c r="J948" s="28" t="s">
        <v>646</v>
      </c>
    </row>
    <row r="949" ht="22.5" customHeight="1">
      <c r="A949" s="9"/>
      <c r="B949" s="56"/>
      <c r="C949" s="13" t="str">
        <f>IFERROR(__xludf.DUMMYFUNCTION("IF(B949="""","""",LOWER(REGEXREPLACE(B949,""[^A-Za-z0-9]"",""""))&amp;""-""&amp;TEXT(COUNTIF($B$2:B949,B949),""000""))"),"")</f>
        <v/>
      </c>
      <c r="D949" s="57"/>
      <c r="E949" s="58"/>
      <c r="F949" s="59"/>
      <c r="G949" s="10"/>
      <c r="H949" s="55"/>
      <c r="I949" s="28"/>
      <c r="J949" s="28" t="s">
        <v>646</v>
      </c>
    </row>
    <row r="950" ht="22.5" customHeight="1">
      <c r="A950" s="9"/>
      <c r="B950" s="56"/>
      <c r="C950" s="13" t="str">
        <f>IFERROR(__xludf.DUMMYFUNCTION("IF(B950="""","""",LOWER(REGEXREPLACE(B950,""[^A-Za-z0-9]"",""""))&amp;""-""&amp;TEXT(COUNTIF($B$2:B950,B950),""000""))"),"")</f>
        <v/>
      </c>
      <c r="D950" s="57"/>
      <c r="E950" s="58"/>
      <c r="F950" s="59"/>
      <c r="G950" s="10"/>
      <c r="H950" s="55"/>
      <c r="I950" s="28"/>
      <c r="J950" s="28" t="s">
        <v>646</v>
      </c>
    </row>
    <row r="951" ht="22.5" customHeight="1">
      <c r="A951" s="9"/>
      <c r="B951" s="56"/>
      <c r="C951" s="13" t="str">
        <f>IFERROR(__xludf.DUMMYFUNCTION("IF(B951="""","""",LOWER(REGEXREPLACE(B951,""[^A-Za-z0-9]"",""""))&amp;""-""&amp;TEXT(COUNTIF($B$2:B951,B951),""000""))"),"")</f>
        <v/>
      </c>
      <c r="D951" s="57"/>
      <c r="E951" s="58"/>
      <c r="F951" s="59"/>
      <c r="G951" s="10"/>
      <c r="H951" s="55"/>
      <c r="I951" s="28"/>
      <c r="J951" s="28" t="s">
        <v>646</v>
      </c>
    </row>
    <row r="952" ht="22.5" customHeight="1">
      <c r="A952" s="9"/>
      <c r="B952" s="56"/>
      <c r="C952" s="13" t="str">
        <f>IFERROR(__xludf.DUMMYFUNCTION("IF(B952="""","""",LOWER(REGEXREPLACE(B952,""[^A-Za-z0-9]"",""""))&amp;""-""&amp;TEXT(COUNTIF($B$2:B952,B952),""000""))"),"")</f>
        <v/>
      </c>
      <c r="D952" s="57"/>
      <c r="E952" s="58"/>
      <c r="F952" s="59"/>
      <c r="G952" s="10"/>
      <c r="H952" s="55"/>
      <c r="I952" s="28"/>
      <c r="J952" s="28" t="s">
        <v>646</v>
      </c>
    </row>
    <row r="953" ht="22.5" customHeight="1">
      <c r="A953" s="9"/>
      <c r="B953" s="56"/>
      <c r="C953" s="13" t="str">
        <f>IFERROR(__xludf.DUMMYFUNCTION("IF(B953="""","""",LOWER(REGEXREPLACE(B953,""[^A-Za-z0-9]"",""""))&amp;""-""&amp;TEXT(COUNTIF($B$2:B953,B953),""000""))"),"")</f>
        <v/>
      </c>
      <c r="D953" s="57"/>
      <c r="E953" s="58"/>
      <c r="F953" s="59"/>
      <c r="G953" s="10"/>
      <c r="H953" s="55"/>
      <c r="I953" s="28"/>
      <c r="J953" s="28" t="s">
        <v>646</v>
      </c>
    </row>
    <row r="954" ht="22.5" customHeight="1">
      <c r="A954" s="9"/>
      <c r="B954" s="56"/>
      <c r="C954" s="13" t="str">
        <f>IFERROR(__xludf.DUMMYFUNCTION("IF(B954="""","""",LOWER(REGEXREPLACE(B954,""[^A-Za-z0-9]"",""""))&amp;""-""&amp;TEXT(COUNTIF($B$2:B954,B954),""000""))"),"")</f>
        <v/>
      </c>
      <c r="D954" s="57"/>
      <c r="E954" s="58"/>
      <c r="F954" s="59"/>
      <c r="G954" s="10"/>
      <c r="H954" s="55"/>
      <c r="I954" s="28"/>
      <c r="J954" s="28" t="s">
        <v>646</v>
      </c>
    </row>
    <row r="955" ht="22.5" customHeight="1">
      <c r="A955" s="9"/>
      <c r="B955" s="56"/>
      <c r="C955" s="13" t="str">
        <f>IFERROR(__xludf.DUMMYFUNCTION("IF(B955="""","""",LOWER(REGEXREPLACE(B955,""[^A-Za-z0-9]"",""""))&amp;""-""&amp;TEXT(COUNTIF($B$2:B955,B955),""000""))"),"")</f>
        <v/>
      </c>
      <c r="D955" s="57"/>
      <c r="E955" s="58"/>
      <c r="F955" s="59"/>
      <c r="G955" s="10"/>
      <c r="H955" s="55"/>
      <c r="I955" s="28"/>
      <c r="J955" s="28" t="s">
        <v>646</v>
      </c>
    </row>
    <row r="956" ht="22.5" customHeight="1">
      <c r="A956" s="9"/>
      <c r="B956" s="56"/>
      <c r="C956" s="13" t="str">
        <f>IFERROR(__xludf.DUMMYFUNCTION("IF(B956="""","""",LOWER(REGEXREPLACE(B956,""[^A-Za-z0-9]"",""""))&amp;""-""&amp;TEXT(COUNTIF($B$2:B956,B956),""000""))"),"")</f>
        <v/>
      </c>
      <c r="D956" s="57"/>
      <c r="E956" s="58"/>
      <c r="F956" s="59"/>
      <c r="G956" s="10"/>
      <c r="H956" s="55"/>
      <c r="I956" s="28"/>
      <c r="J956" s="28" t="s">
        <v>646</v>
      </c>
    </row>
    <row r="957" ht="22.5" customHeight="1">
      <c r="A957" s="9"/>
      <c r="B957" s="56"/>
      <c r="C957" s="13" t="str">
        <f>IFERROR(__xludf.DUMMYFUNCTION("IF(B957="""","""",LOWER(REGEXREPLACE(B957,""[^A-Za-z0-9]"",""""))&amp;""-""&amp;TEXT(COUNTIF($B$2:B957,B957),""000""))"),"")</f>
        <v/>
      </c>
      <c r="D957" s="57"/>
      <c r="E957" s="58"/>
      <c r="F957" s="59"/>
      <c r="G957" s="10"/>
      <c r="H957" s="55"/>
      <c r="I957" s="28"/>
      <c r="J957" s="28" t="s">
        <v>646</v>
      </c>
    </row>
    <row r="958" ht="22.5" customHeight="1">
      <c r="A958" s="9"/>
      <c r="B958" s="56"/>
      <c r="C958" s="13" t="str">
        <f>IFERROR(__xludf.DUMMYFUNCTION("IF(B958="""","""",LOWER(REGEXREPLACE(B958,""[^A-Za-z0-9]"",""""))&amp;""-""&amp;TEXT(COUNTIF($B$2:B958,B958),""000""))"),"")</f>
        <v/>
      </c>
      <c r="D958" s="57"/>
      <c r="E958" s="58"/>
      <c r="F958" s="59"/>
      <c r="G958" s="10"/>
      <c r="H958" s="55"/>
      <c r="I958" s="28"/>
      <c r="J958" s="28" t="s">
        <v>646</v>
      </c>
    </row>
    <row r="959" ht="22.5" customHeight="1">
      <c r="A959" s="9"/>
      <c r="B959" s="56"/>
      <c r="C959" s="13" t="str">
        <f>IFERROR(__xludf.DUMMYFUNCTION("IF(B959="""","""",LOWER(REGEXREPLACE(B959,""[^A-Za-z0-9]"",""""))&amp;""-""&amp;TEXT(COUNTIF($B$2:B959,B959),""000""))"),"")</f>
        <v/>
      </c>
      <c r="D959" s="57"/>
      <c r="E959" s="58"/>
      <c r="F959" s="59"/>
      <c r="G959" s="10"/>
      <c r="H959" s="55"/>
      <c r="I959" s="28"/>
      <c r="J959" s="28" t="s">
        <v>646</v>
      </c>
    </row>
    <row r="960" ht="22.5" customHeight="1">
      <c r="A960" s="9"/>
      <c r="B960" s="56"/>
      <c r="C960" s="13" t="str">
        <f>IFERROR(__xludf.DUMMYFUNCTION("IF(B960="""","""",LOWER(REGEXREPLACE(B960,""[^A-Za-z0-9]"",""""))&amp;""-""&amp;TEXT(COUNTIF($B$2:B960,B960),""000""))"),"")</f>
        <v/>
      </c>
      <c r="D960" s="57"/>
      <c r="E960" s="58"/>
      <c r="F960" s="59"/>
      <c r="G960" s="10"/>
      <c r="H960" s="55"/>
      <c r="I960" s="28"/>
      <c r="J960" s="28" t="s">
        <v>646</v>
      </c>
    </row>
    <row r="961" ht="22.5" customHeight="1">
      <c r="A961" s="9"/>
      <c r="B961" s="56"/>
      <c r="C961" s="13" t="str">
        <f>IFERROR(__xludf.DUMMYFUNCTION("IF(B961="""","""",LOWER(REGEXREPLACE(B961,""[^A-Za-z0-9]"",""""))&amp;""-""&amp;TEXT(COUNTIF($B$2:B961,B961),""000""))"),"")</f>
        <v/>
      </c>
      <c r="D961" s="57"/>
      <c r="E961" s="58"/>
      <c r="F961" s="59"/>
      <c r="G961" s="10"/>
      <c r="H961" s="55"/>
      <c r="I961" s="28"/>
      <c r="J961" s="28" t="s">
        <v>646</v>
      </c>
    </row>
    <row r="962" ht="22.5" customHeight="1">
      <c r="A962" s="9"/>
      <c r="B962" s="56"/>
      <c r="C962" s="13" t="str">
        <f>IFERROR(__xludf.DUMMYFUNCTION("IF(B962="""","""",LOWER(REGEXREPLACE(B962,""[^A-Za-z0-9]"",""""))&amp;""-""&amp;TEXT(COUNTIF($B$2:B962,B962),""000""))"),"")</f>
        <v/>
      </c>
      <c r="D962" s="57"/>
      <c r="E962" s="58"/>
      <c r="F962" s="59"/>
      <c r="G962" s="10"/>
      <c r="H962" s="55"/>
      <c r="I962" s="28"/>
      <c r="J962" s="28" t="s">
        <v>646</v>
      </c>
    </row>
    <row r="963" ht="22.5" customHeight="1">
      <c r="A963" s="9"/>
      <c r="B963" s="56"/>
      <c r="C963" s="13" t="str">
        <f>IFERROR(__xludf.DUMMYFUNCTION("IF(B963="""","""",LOWER(REGEXREPLACE(B963,""[^A-Za-z0-9]"",""""))&amp;""-""&amp;TEXT(COUNTIF($B$2:B963,B963),""000""))"),"")</f>
        <v/>
      </c>
      <c r="D963" s="57"/>
      <c r="E963" s="58"/>
      <c r="F963" s="59"/>
      <c r="G963" s="10"/>
      <c r="H963" s="55"/>
      <c r="I963" s="28"/>
      <c r="J963" s="28" t="s">
        <v>646</v>
      </c>
    </row>
    <row r="964" ht="22.5" customHeight="1">
      <c r="A964" s="9"/>
      <c r="B964" s="56"/>
      <c r="C964" s="13" t="str">
        <f>IFERROR(__xludf.DUMMYFUNCTION("IF(B964="""","""",LOWER(REGEXREPLACE(B964,""[^A-Za-z0-9]"",""""))&amp;""-""&amp;TEXT(COUNTIF($B$2:B964,B964),""000""))"),"")</f>
        <v/>
      </c>
      <c r="D964" s="57"/>
      <c r="E964" s="58"/>
      <c r="F964" s="59"/>
      <c r="G964" s="10"/>
      <c r="H964" s="55"/>
      <c r="I964" s="28"/>
      <c r="J964" s="28" t="s">
        <v>646</v>
      </c>
    </row>
    <row r="965" ht="22.5" customHeight="1">
      <c r="A965" s="9"/>
      <c r="B965" s="56"/>
      <c r="C965" s="13" t="str">
        <f>IFERROR(__xludf.DUMMYFUNCTION("IF(B965="""","""",LOWER(REGEXREPLACE(B965,""[^A-Za-z0-9]"",""""))&amp;""-""&amp;TEXT(COUNTIF($B$2:B965,B965),""000""))"),"")</f>
        <v/>
      </c>
      <c r="D965" s="57"/>
      <c r="E965" s="58"/>
      <c r="F965" s="59"/>
      <c r="G965" s="10"/>
      <c r="H965" s="55"/>
      <c r="I965" s="28"/>
      <c r="J965" s="28" t="s">
        <v>646</v>
      </c>
    </row>
    <row r="966" ht="22.5" customHeight="1">
      <c r="A966" s="9"/>
      <c r="B966" s="56"/>
      <c r="C966" s="13" t="str">
        <f>IFERROR(__xludf.DUMMYFUNCTION("IF(B966="""","""",LOWER(REGEXREPLACE(B966,""[^A-Za-z0-9]"",""""))&amp;""-""&amp;TEXT(COUNTIF($B$2:B966,B966),""000""))"),"")</f>
        <v/>
      </c>
      <c r="D966" s="57"/>
      <c r="E966" s="58"/>
      <c r="F966" s="59"/>
      <c r="G966" s="10"/>
      <c r="H966" s="55"/>
      <c r="I966" s="28"/>
      <c r="J966" s="28" t="s">
        <v>646</v>
      </c>
    </row>
    <row r="967" ht="22.5" customHeight="1">
      <c r="A967" s="9"/>
      <c r="B967" s="56"/>
      <c r="C967" s="13" t="str">
        <f>IFERROR(__xludf.DUMMYFUNCTION("IF(B967="""","""",LOWER(REGEXREPLACE(B967,""[^A-Za-z0-9]"",""""))&amp;""-""&amp;TEXT(COUNTIF($B$2:B967,B967),""000""))"),"")</f>
        <v/>
      </c>
      <c r="D967" s="57"/>
      <c r="E967" s="58"/>
      <c r="F967" s="59"/>
      <c r="G967" s="10"/>
      <c r="H967" s="55"/>
      <c r="I967" s="28"/>
      <c r="J967" s="28" t="s">
        <v>646</v>
      </c>
    </row>
    <row r="968" ht="22.5" customHeight="1">
      <c r="A968" s="9"/>
      <c r="B968" s="56"/>
      <c r="C968" s="13" t="str">
        <f>IFERROR(__xludf.DUMMYFUNCTION("IF(B968="""","""",LOWER(REGEXREPLACE(B968,""[^A-Za-z0-9]"",""""))&amp;""-""&amp;TEXT(COUNTIF($B$2:B968,B968),""000""))"),"")</f>
        <v/>
      </c>
      <c r="D968" s="57"/>
      <c r="E968" s="58"/>
      <c r="F968" s="59"/>
      <c r="G968" s="10"/>
      <c r="H968" s="55"/>
      <c r="I968" s="28"/>
      <c r="J968" s="28" t="s">
        <v>646</v>
      </c>
    </row>
    <row r="969" ht="22.5" customHeight="1">
      <c r="A969" s="9"/>
      <c r="B969" s="56"/>
      <c r="C969" s="13" t="str">
        <f>IFERROR(__xludf.DUMMYFUNCTION("IF(B969="""","""",LOWER(REGEXREPLACE(B969,""[^A-Za-z0-9]"",""""))&amp;""-""&amp;TEXT(COUNTIF($B$2:B969,B969),""000""))"),"")</f>
        <v/>
      </c>
      <c r="D969" s="57"/>
      <c r="E969" s="58"/>
      <c r="F969" s="59"/>
      <c r="G969" s="10"/>
      <c r="H969" s="55"/>
      <c r="I969" s="28"/>
      <c r="J969" s="28" t="s">
        <v>646</v>
      </c>
    </row>
    <row r="970" ht="22.5" customHeight="1">
      <c r="A970" s="9"/>
      <c r="B970" s="56"/>
      <c r="C970" s="13" t="str">
        <f>IFERROR(__xludf.DUMMYFUNCTION("IF(B970="""","""",LOWER(REGEXREPLACE(B970,""[^A-Za-z0-9]"",""""))&amp;""-""&amp;TEXT(COUNTIF($B$2:B970,B970),""000""))"),"")</f>
        <v/>
      </c>
      <c r="D970" s="57"/>
      <c r="E970" s="58"/>
      <c r="F970" s="59"/>
      <c r="G970" s="10"/>
      <c r="H970" s="55"/>
      <c r="I970" s="28"/>
      <c r="J970" s="28" t="s">
        <v>646</v>
      </c>
    </row>
    <row r="971" ht="22.5" customHeight="1">
      <c r="A971" s="9"/>
      <c r="B971" s="56"/>
      <c r="C971" s="13" t="str">
        <f>IFERROR(__xludf.DUMMYFUNCTION("IF(B971="""","""",LOWER(REGEXREPLACE(B971,""[^A-Za-z0-9]"",""""))&amp;""-""&amp;TEXT(COUNTIF($B$2:B971,B971),""000""))"),"")</f>
        <v/>
      </c>
      <c r="D971" s="57"/>
      <c r="E971" s="58"/>
      <c r="F971" s="59"/>
      <c r="G971" s="10"/>
      <c r="H971" s="55"/>
      <c r="I971" s="28"/>
      <c r="J971" s="28" t="s">
        <v>646</v>
      </c>
    </row>
    <row r="972" ht="22.5" customHeight="1">
      <c r="A972" s="9"/>
      <c r="B972" s="56"/>
      <c r="C972" s="13" t="str">
        <f>IFERROR(__xludf.DUMMYFUNCTION("IF(B972="""","""",LOWER(REGEXREPLACE(B972,""[^A-Za-z0-9]"",""""))&amp;""-""&amp;TEXT(COUNTIF($B$2:B972,B972),""000""))"),"")</f>
        <v/>
      </c>
      <c r="D972" s="57"/>
      <c r="E972" s="58"/>
      <c r="F972" s="59"/>
      <c r="G972" s="10"/>
      <c r="H972" s="55"/>
      <c r="I972" s="28"/>
      <c r="J972" s="28" t="s">
        <v>646</v>
      </c>
    </row>
    <row r="973" ht="22.5" customHeight="1">
      <c r="A973" s="9"/>
      <c r="B973" s="56"/>
      <c r="C973" s="13" t="str">
        <f>IFERROR(__xludf.DUMMYFUNCTION("IF(B973="""","""",LOWER(REGEXREPLACE(B973,""[^A-Za-z0-9]"",""""))&amp;""-""&amp;TEXT(COUNTIF($B$2:B973,B973),""000""))"),"")</f>
        <v/>
      </c>
      <c r="D973" s="57"/>
      <c r="E973" s="58"/>
      <c r="F973" s="59"/>
      <c r="G973" s="10"/>
      <c r="H973" s="55"/>
      <c r="I973" s="28"/>
      <c r="J973" s="28" t="s">
        <v>646</v>
      </c>
    </row>
    <row r="974" ht="22.5" customHeight="1">
      <c r="A974" s="9"/>
      <c r="B974" s="56"/>
      <c r="C974" s="13" t="str">
        <f>IFERROR(__xludf.DUMMYFUNCTION("IF(B974="""","""",LOWER(REGEXREPLACE(B974,""[^A-Za-z0-9]"",""""))&amp;""-""&amp;TEXT(COUNTIF($B$2:B974,B974),""000""))"),"")</f>
        <v/>
      </c>
      <c r="D974" s="57"/>
      <c r="E974" s="58"/>
      <c r="F974" s="59"/>
      <c r="G974" s="10"/>
      <c r="H974" s="55"/>
      <c r="I974" s="28"/>
      <c r="J974" s="28" t="s">
        <v>646</v>
      </c>
    </row>
    <row r="975" ht="22.5" customHeight="1">
      <c r="A975" s="9"/>
      <c r="B975" s="56"/>
      <c r="C975" s="13" t="str">
        <f>IFERROR(__xludf.DUMMYFUNCTION("IF(B975="""","""",LOWER(REGEXREPLACE(B975,""[^A-Za-z0-9]"",""""))&amp;""-""&amp;TEXT(COUNTIF($B$2:B975,B975),""000""))"),"")</f>
        <v/>
      </c>
      <c r="D975" s="57"/>
      <c r="E975" s="58"/>
      <c r="F975" s="59"/>
      <c r="G975" s="10"/>
      <c r="H975" s="55"/>
      <c r="I975" s="28"/>
      <c r="J975" s="28" t="s">
        <v>646</v>
      </c>
    </row>
    <row r="976" ht="22.5" customHeight="1">
      <c r="A976" s="9"/>
      <c r="B976" s="56"/>
      <c r="C976" s="13" t="str">
        <f>IFERROR(__xludf.DUMMYFUNCTION("IF(B976="""","""",LOWER(REGEXREPLACE(B976,""[^A-Za-z0-9]"",""""))&amp;""-""&amp;TEXT(COUNTIF($B$2:B976,B976),""000""))"),"")</f>
        <v/>
      </c>
      <c r="D976" s="57"/>
      <c r="E976" s="58"/>
      <c r="F976" s="59"/>
      <c r="G976" s="10"/>
      <c r="H976" s="55"/>
      <c r="I976" s="28"/>
      <c r="J976" s="28" t="s">
        <v>646</v>
      </c>
    </row>
    <row r="977" ht="22.5" customHeight="1">
      <c r="A977" s="9"/>
      <c r="B977" s="56"/>
      <c r="C977" s="13" t="str">
        <f>IFERROR(__xludf.DUMMYFUNCTION("IF(B977="""","""",LOWER(REGEXREPLACE(B977,""[^A-Za-z0-9]"",""""))&amp;""-""&amp;TEXT(COUNTIF($B$2:B977,B977),""000""))"),"")</f>
        <v/>
      </c>
      <c r="D977" s="57"/>
      <c r="E977" s="58"/>
      <c r="F977" s="59"/>
      <c r="G977" s="10"/>
      <c r="H977" s="55"/>
      <c r="I977" s="28"/>
      <c r="J977" s="28" t="s">
        <v>646</v>
      </c>
    </row>
    <row r="978" ht="22.5" customHeight="1">
      <c r="A978" s="9"/>
      <c r="B978" s="56"/>
      <c r="C978" s="13" t="str">
        <f>IFERROR(__xludf.DUMMYFUNCTION("IF(B978="""","""",LOWER(REGEXREPLACE(B978,""[^A-Za-z0-9]"",""""))&amp;""-""&amp;TEXT(COUNTIF($B$2:B978,B978),""000""))"),"")</f>
        <v/>
      </c>
      <c r="D978" s="57"/>
      <c r="E978" s="58"/>
      <c r="F978" s="59"/>
      <c r="G978" s="10"/>
      <c r="H978" s="55"/>
      <c r="I978" s="28"/>
      <c r="J978" s="28" t="s">
        <v>646</v>
      </c>
    </row>
    <row r="979" ht="22.5" customHeight="1">
      <c r="A979" s="9"/>
      <c r="B979" s="56"/>
      <c r="C979" s="13" t="str">
        <f>IFERROR(__xludf.DUMMYFUNCTION("IF(B979="""","""",LOWER(REGEXREPLACE(B979,""[^A-Za-z0-9]"",""""))&amp;""-""&amp;TEXT(COUNTIF($B$2:B979,B979),""000""))"),"")</f>
        <v/>
      </c>
      <c r="D979" s="57"/>
      <c r="E979" s="58"/>
      <c r="F979" s="59"/>
      <c r="G979" s="10"/>
      <c r="H979" s="55"/>
      <c r="I979" s="28"/>
      <c r="J979" s="28" t="s">
        <v>646</v>
      </c>
    </row>
    <row r="980" ht="22.5" customHeight="1">
      <c r="A980" s="9"/>
      <c r="B980" s="56"/>
      <c r="C980" s="13" t="str">
        <f>IFERROR(__xludf.DUMMYFUNCTION("IF(B980="""","""",LOWER(REGEXREPLACE(B980,""[^A-Za-z0-9]"",""""))&amp;""-""&amp;TEXT(COUNTIF($B$2:B980,B980),""000""))"),"")</f>
        <v/>
      </c>
      <c r="D980" s="57"/>
      <c r="E980" s="58"/>
      <c r="F980" s="59"/>
      <c r="G980" s="10"/>
      <c r="H980" s="55"/>
      <c r="I980" s="28"/>
      <c r="J980" s="28" t="s">
        <v>646</v>
      </c>
    </row>
    <row r="981" ht="22.5" customHeight="1">
      <c r="A981" s="9"/>
      <c r="B981" s="56"/>
      <c r="C981" s="13" t="str">
        <f>IFERROR(__xludf.DUMMYFUNCTION("IF(B981="""","""",LOWER(REGEXREPLACE(B981,""[^A-Za-z0-9]"",""""))&amp;""-""&amp;TEXT(COUNTIF($B$2:B981,B981),""000""))"),"")</f>
        <v/>
      </c>
      <c r="D981" s="57"/>
      <c r="E981" s="58"/>
      <c r="F981" s="59"/>
      <c r="G981" s="10"/>
      <c r="H981" s="55"/>
      <c r="I981" s="28"/>
      <c r="J981" s="28" t="s">
        <v>646</v>
      </c>
    </row>
    <row r="982" ht="22.5" customHeight="1">
      <c r="A982" s="9"/>
      <c r="B982" s="56"/>
      <c r="C982" s="13" t="str">
        <f>IFERROR(__xludf.DUMMYFUNCTION("IF(B982="""","""",LOWER(REGEXREPLACE(B982,""[^A-Za-z0-9]"",""""))&amp;""-""&amp;TEXT(COUNTIF($B$2:B982,B982),""000""))"),"")</f>
        <v/>
      </c>
      <c r="D982" s="57"/>
      <c r="E982" s="58"/>
      <c r="F982" s="59"/>
      <c r="G982" s="10"/>
      <c r="H982" s="55"/>
      <c r="I982" s="28"/>
      <c r="J982" s="28" t="s">
        <v>646</v>
      </c>
    </row>
    <row r="983" ht="22.5" customHeight="1">
      <c r="A983" s="9"/>
      <c r="B983" s="56"/>
      <c r="C983" s="13" t="str">
        <f>IFERROR(__xludf.DUMMYFUNCTION("IF(B983="""","""",LOWER(REGEXREPLACE(B983,""[^A-Za-z0-9]"",""""))&amp;""-""&amp;TEXT(COUNTIF($B$2:B983,B983),""000""))"),"")</f>
        <v/>
      </c>
      <c r="D983" s="57"/>
      <c r="E983" s="58"/>
      <c r="F983" s="59"/>
      <c r="G983" s="10"/>
      <c r="H983" s="55"/>
      <c r="I983" s="28"/>
      <c r="J983" s="28" t="s">
        <v>646</v>
      </c>
    </row>
    <row r="984" ht="22.5" customHeight="1">
      <c r="A984" s="9"/>
      <c r="B984" s="56"/>
      <c r="C984" s="13" t="str">
        <f>IFERROR(__xludf.DUMMYFUNCTION("IF(B984="""","""",LOWER(REGEXREPLACE(B984,""[^A-Za-z0-9]"",""""))&amp;""-""&amp;TEXT(COUNTIF($B$2:B984,B984),""000""))"),"")</f>
        <v/>
      </c>
      <c r="D984" s="57"/>
      <c r="E984" s="58"/>
      <c r="F984" s="59"/>
      <c r="G984" s="10"/>
      <c r="H984" s="55"/>
      <c r="I984" s="28"/>
      <c r="J984" s="28" t="s">
        <v>646</v>
      </c>
    </row>
    <row r="985" ht="22.5" customHeight="1">
      <c r="A985" s="9"/>
      <c r="B985" s="56"/>
      <c r="C985" s="13" t="str">
        <f>IFERROR(__xludf.DUMMYFUNCTION("IF(B985="""","""",LOWER(REGEXREPLACE(B985,""[^A-Za-z0-9]"",""""))&amp;""-""&amp;TEXT(COUNTIF($B$2:B985,B985),""000""))"),"")</f>
        <v/>
      </c>
      <c r="D985" s="57"/>
      <c r="E985" s="58"/>
      <c r="F985" s="59"/>
      <c r="G985" s="10"/>
      <c r="H985" s="55"/>
      <c r="I985" s="28"/>
      <c r="J985" s="28" t="s">
        <v>646</v>
      </c>
    </row>
    <row r="986" ht="22.5" customHeight="1">
      <c r="A986" s="9"/>
      <c r="B986" s="56"/>
      <c r="C986" s="13" t="str">
        <f>IFERROR(__xludf.DUMMYFUNCTION("IF(B986="""","""",LOWER(REGEXREPLACE(B986,""[^A-Za-z0-9]"",""""))&amp;""-""&amp;TEXT(COUNTIF($B$2:B986,B986),""000""))"),"")</f>
        <v/>
      </c>
      <c r="D986" s="57"/>
      <c r="E986" s="58"/>
      <c r="F986" s="59"/>
      <c r="G986" s="10"/>
      <c r="H986" s="55"/>
      <c r="I986" s="28"/>
      <c r="J986" s="28" t="s">
        <v>646</v>
      </c>
    </row>
    <row r="987" ht="22.5" customHeight="1">
      <c r="A987" s="9"/>
      <c r="B987" s="56"/>
      <c r="C987" s="13" t="str">
        <f>IFERROR(__xludf.DUMMYFUNCTION("IF(B987="""","""",LOWER(REGEXREPLACE(B987,""[^A-Za-z0-9]"",""""))&amp;""-""&amp;TEXT(COUNTIF($B$2:B987,B987),""000""))"),"")</f>
        <v/>
      </c>
      <c r="D987" s="57"/>
      <c r="E987" s="58"/>
      <c r="F987" s="59"/>
      <c r="G987" s="10"/>
      <c r="H987" s="55"/>
      <c r="I987" s="28"/>
      <c r="J987" s="28" t="s">
        <v>646</v>
      </c>
    </row>
    <row r="988" ht="22.5" customHeight="1">
      <c r="A988" s="9"/>
      <c r="B988" s="56"/>
      <c r="C988" s="13" t="str">
        <f>IFERROR(__xludf.DUMMYFUNCTION("IF(B988="""","""",LOWER(REGEXREPLACE(B988,""[^A-Za-z0-9]"",""""))&amp;""-""&amp;TEXT(COUNTIF($B$2:B988,B988),""000""))"),"")</f>
        <v/>
      </c>
      <c r="D988" s="57"/>
      <c r="E988" s="58"/>
      <c r="F988" s="59"/>
      <c r="G988" s="10"/>
      <c r="H988" s="55"/>
      <c r="I988" s="28"/>
      <c r="J988" s="28" t="s">
        <v>646</v>
      </c>
    </row>
    <row r="989" ht="22.5" customHeight="1">
      <c r="A989" s="9"/>
      <c r="B989" s="56"/>
      <c r="C989" s="13" t="str">
        <f>IFERROR(__xludf.DUMMYFUNCTION("IF(B989="""","""",LOWER(REGEXREPLACE(B989,""[^A-Za-z0-9]"",""""))&amp;""-""&amp;TEXT(COUNTIF($B$2:B989,B989),""000""))"),"")</f>
        <v/>
      </c>
      <c r="D989" s="57"/>
      <c r="E989" s="58"/>
      <c r="F989" s="59"/>
      <c r="G989" s="10"/>
      <c r="H989" s="55"/>
      <c r="I989" s="28"/>
      <c r="J989" s="28" t="s">
        <v>646</v>
      </c>
    </row>
    <row r="990" ht="22.5" customHeight="1">
      <c r="A990" s="9"/>
      <c r="B990" s="56"/>
      <c r="C990" s="13" t="str">
        <f>IFERROR(__xludf.DUMMYFUNCTION("IF(B990="""","""",LOWER(REGEXREPLACE(B990,""[^A-Za-z0-9]"",""""))&amp;""-""&amp;TEXT(COUNTIF($B$2:B990,B990),""000""))"),"")</f>
        <v/>
      </c>
      <c r="D990" s="57"/>
      <c r="E990" s="58"/>
      <c r="F990" s="59"/>
      <c r="G990" s="10"/>
      <c r="H990" s="55"/>
      <c r="I990" s="28"/>
      <c r="J990" s="28" t="s">
        <v>646</v>
      </c>
    </row>
    <row r="991" ht="22.5" customHeight="1">
      <c r="A991" s="9"/>
      <c r="B991" s="56"/>
      <c r="C991" s="13" t="str">
        <f>IFERROR(__xludf.DUMMYFUNCTION("IF(B991="""","""",LOWER(REGEXREPLACE(B991,""[^A-Za-z0-9]"",""""))&amp;""-""&amp;TEXT(COUNTIF($B$2:B991,B991),""000""))"),"")</f>
        <v/>
      </c>
      <c r="D991" s="57"/>
      <c r="E991" s="58"/>
      <c r="F991" s="59"/>
      <c r="G991" s="10"/>
      <c r="H991" s="55"/>
      <c r="I991" s="28"/>
      <c r="J991" s="28" t="s">
        <v>646</v>
      </c>
    </row>
    <row r="992" ht="22.5" customHeight="1">
      <c r="A992" s="9"/>
      <c r="B992" s="56"/>
      <c r="C992" s="13" t="str">
        <f>IFERROR(__xludf.DUMMYFUNCTION("IF(B992="""","""",LOWER(REGEXREPLACE(B992,""[^A-Za-z0-9]"",""""))&amp;""-""&amp;TEXT(COUNTIF($B$2:B992,B992),""000""))"),"")</f>
        <v/>
      </c>
      <c r="D992" s="57"/>
      <c r="E992" s="58"/>
      <c r="F992" s="59"/>
      <c r="G992" s="10"/>
      <c r="H992" s="55"/>
      <c r="I992" s="28"/>
      <c r="J992" s="28" t="s">
        <v>646</v>
      </c>
    </row>
    <row r="993" ht="22.5" customHeight="1">
      <c r="A993" s="9"/>
      <c r="B993" s="56"/>
      <c r="C993" s="13" t="str">
        <f>IFERROR(__xludf.DUMMYFUNCTION("IF(B993="""","""",LOWER(REGEXREPLACE(B993,""[^A-Za-z0-9]"",""""))&amp;""-""&amp;TEXT(COUNTIF($B$2:B993,B993),""000""))"),"")</f>
        <v/>
      </c>
      <c r="D993" s="57"/>
      <c r="E993" s="58"/>
      <c r="F993" s="59"/>
      <c r="G993" s="10"/>
      <c r="H993" s="55"/>
      <c r="I993" s="28"/>
      <c r="J993" s="28" t="s">
        <v>646</v>
      </c>
    </row>
    <row r="994" ht="22.5" customHeight="1">
      <c r="A994" s="9"/>
      <c r="B994" s="56"/>
      <c r="C994" s="13" t="str">
        <f>IFERROR(__xludf.DUMMYFUNCTION("IF(B994="""","""",LOWER(REGEXREPLACE(B994,""[^A-Za-z0-9]"",""""))&amp;""-""&amp;TEXT(COUNTIF($B$2:B994,B994),""000""))"),"")</f>
        <v/>
      </c>
      <c r="D994" s="57"/>
      <c r="E994" s="58"/>
      <c r="F994" s="59"/>
      <c r="G994" s="10"/>
      <c r="H994" s="55"/>
      <c r="I994" s="28"/>
      <c r="J994" s="28" t="s">
        <v>646</v>
      </c>
    </row>
    <row r="995" ht="22.5" customHeight="1">
      <c r="A995" s="9"/>
      <c r="B995" s="56"/>
      <c r="C995" s="13" t="str">
        <f>IFERROR(__xludf.DUMMYFUNCTION("IF(B995="""","""",LOWER(REGEXREPLACE(B995,""[^A-Za-z0-9]"",""""))&amp;""-""&amp;TEXT(COUNTIF($B$2:B995,B995),""000""))"),"")</f>
        <v/>
      </c>
      <c r="D995" s="57"/>
      <c r="E995" s="58"/>
      <c r="F995" s="59"/>
      <c r="G995" s="10"/>
      <c r="H995" s="55"/>
      <c r="I995" s="28"/>
      <c r="J995" s="28" t="s">
        <v>646</v>
      </c>
    </row>
    <row r="996" ht="22.5" customHeight="1">
      <c r="A996" s="9"/>
      <c r="B996" s="56"/>
      <c r="C996" s="13" t="str">
        <f>IFERROR(__xludf.DUMMYFUNCTION("IF(B996="""","""",LOWER(REGEXREPLACE(B996,""[^A-Za-z0-9]"",""""))&amp;""-""&amp;TEXT(COUNTIF($B$2:B996,B996),""000""))"),"")</f>
        <v/>
      </c>
      <c r="D996" s="57"/>
      <c r="E996" s="58"/>
      <c r="F996" s="59"/>
      <c r="G996" s="10"/>
      <c r="H996" s="55"/>
      <c r="I996" s="28"/>
      <c r="J996" s="28" t="s">
        <v>646</v>
      </c>
    </row>
    <row r="997" ht="22.5" customHeight="1">
      <c r="A997" s="9"/>
      <c r="B997" s="56"/>
      <c r="C997" s="13" t="str">
        <f>IFERROR(__xludf.DUMMYFUNCTION("IF(B997="""","""",LOWER(REGEXREPLACE(B997,""[^A-Za-z0-9]"",""""))&amp;""-""&amp;TEXT(COUNTIF($B$2:B997,B997),""000""))"),"")</f>
        <v/>
      </c>
      <c r="D997" s="57"/>
      <c r="E997" s="58"/>
      <c r="F997" s="59"/>
      <c r="G997" s="10"/>
      <c r="H997" s="55"/>
      <c r="I997" s="28"/>
      <c r="J997" s="28" t="s">
        <v>646</v>
      </c>
    </row>
    <row r="998" ht="22.5" customHeight="1">
      <c r="A998" s="9"/>
      <c r="B998" s="56"/>
      <c r="C998" s="13" t="str">
        <f>IFERROR(__xludf.DUMMYFUNCTION("IF(B998="""","""",LOWER(REGEXREPLACE(B998,""[^A-Za-z0-9]"",""""))&amp;""-""&amp;TEXT(COUNTIF($B$2:B998,B998),""000""))"),"")</f>
        <v/>
      </c>
      <c r="D998" s="57"/>
      <c r="E998" s="58"/>
      <c r="F998" s="59"/>
      <c r="G998" s="10"/>
      <c r="H998" s="55"/>
      <c r="I998" s="28"/>
      <c r="J998" s="28" t="s">
        <v>646</v>
      </c>
    </row>
    <row r="999" ht="22.5" customHeight="1">
      <c r="A999" s="9"/>
      <c r="B999" s="56"/>
      <c r="C999" s="13" t="str">
        <f>IFERROR(__xludf.DUMMYFUNCTION("IF(B999="""","""",LOWER(REGEXREPLACE(B999,""[^A-Za-z0-9]"",""""))&amp;""-""&amp;TEXT(COUNTIF($B$2:B999,B999),""000""))"),"")</f>
        <v/>
      </c>
      <c r="D999" s="57"/>
      <c r="E999" s="58"/>
      <c r="F999" s="59"/>
      <c r="G999" s="10"/>
      <c r="H999" s="55"/>
      <c r="I999" s="28"/>
      <c r="J999" s="28" t="s">
        <v>646</v>
      </c>
    </row>
    <row r="1000" ht="22.5" customHeight="1">
      <c r="A1000" s="9"/>
      <c r="B1000" s="56"/>
      <c r="C1000" s="13" t="str">
        <f>IFERROR(__xludf.DUMMYFUNCTION("IF(B1000="""","""",LOWER(REGEXREPLACE(B1000,""[^A-Za-z0-9]"",""""))&amp;""-""&amp;TEXT(COUNTIF($B$2:B1000,B1000),""000""))"),"")</f>
        <v/>
      </c>
      <c r="D1000" s="57"/>
      <c r="E1000" s="58"/>
      <c r="F1000" s="59"/>
      <c r="G1000" s="10"/>
      <c r="H1000" s="55"/>
      <c r="I1000" s="28"/>
      <c r="J1000" s="28" t="s">
        <v>646</v>
      </c>
    </row>
    <row r="1001" ht="22.5" customHeight="1">
      <c r="A1001" s="9"/>
      <c r="B1001" s="56"/>
      <c r="C1001" s="13" t="str">
        <f>IFERROR(__xludf.DUMMYFUNCTION("IF(B1001="""","""",LOWER(REGEXREPLACE(B1001,""[^A-Za-z0-9]"",""""))&amp;""-""&amp;TEXT(COUNTIF($B$2:B1001,B1001),""000""))"),"")</f>
        <v/>
      </c>
      <c r="D1001" s="57"/>
      <c r="E1001" s="58"/>
      <c r="F1001" s="59"/>
      <c r="G1001" s="10"/>
      <c r="H1001" s="55"/>
      <c r="I1001" s="28"/>
      <c r="J1001" s="28" t="s">
        <v>646</v>
      </c>
    </row>
    <row r="1002" ht="22.5" customHeight="1">
      <c r="A1002" s="9"/>
      <c r="B1002" s="56"/>
      <c r="C1002" s="13" t="str">
        <f>IFERROR(__xludf.DUMMYFUNCTION("IF(B1002="""","""",LOWER(REGEXREPLACE(B1002,""[^A-Za-z0-9]"",""""))&amp;""-""&amp;TEXT(COUNTIF($B$2:B1002,B1002),""000""))"),"")</f>
        <v/>
      </c>
      <c r="D1002" s="57"/>
      <c r="E1002" s="58"/>
      <c r="F1002" s="59"/>
      <c r="G1002" s="10"/>
      <c r="H1002" s="55"/>
      <c r="I1002" s="28"/>
      <c r="J1002" s="28" t="s">
        <v>646</v>
      </c>
    </row>
    <row r="1003" ht="22.5" customHeight="1">
      <c r="A1003" s="9"/>
      <c r="B1003" s="56"/>
      <c r="C1003" s="13" t="str">
        <f>IFERROR(__xludf.DUMMYFUNCTION("IF(B1003="""","""",LOWER(REGEXREPLACE(B1003,""[^A-Za-z0-9]"",""""))&amp;""-""&amp;TEXT(COUNTIF($B$2:B1003,B1003),""000""))"),"")</f>
        <v/>
      </c>
      <c r="D1003" s="57"/>
      <c r="E1003" s="58"/>
      <c r="F1003" s="59"/>
      <c r="G1003" s="10"/>
      <c r="H1003" s="55"/>
      <c r="I1003" s="28"/>
      <c r="J1003" s="28" t="s">
        <v>646</v>
      </c>
    </row>
    <row r="1004" ht="22.5" customHeight="1">
      <c r="A1004" s="9"/>
      <c r="B1004" s="56"/>
      <c r="C1004" s="13" t="str">
        <f>IFERROR(__xludf.DUMMYFUNCTION("IF(B1004="""","""",LOWER(REGEXREPLACE(B1004,""[^A-Za-z0-9]"",""""))&amp;""-""&amp;TEXT(COUNTIF($B$2:B1004,B1004),""000""))"),"")</f>
        <v/>
      </c>
      <c r="D1004" s="57"/>
      <c r="E1004" s="58"/>
      <c r="F1004" s="59"/>
      <c r="G1004" s="10"/>
      <c r="H1004" s="55"/>
      <c r="I1004" s="28"/>
      <c r="J1004" s="28" t="s">
        <v>646</v>
      </c>
    </row>
    <row r="1005" ht="22.5" customHeight="1">
      <c r="A1005" s="9"/>
      <c r="B1005" s="56"/>
      <c r="C1005" s="13" t="str">
        <f>IFERROR(__xludf.DUMMYFUNCTION("IF(B1005="""","""",LOWER(REGEXREPLACE(B1005,""[^A-Za-z0-9]"",""""))&amp;""-""&amp;TEXT(COUNTIF($B$2:B1005,B1005),""000""))"),"")</f>
        <v/>
      </c>
      <c r="D1005" s="57"/>
      <c r="E1005" s="58"/>
      <c r="F1005" s="59"/>
      <c r="G1005" s="10"/>
      <c r="H1005" s="55"/>
      <c r="I1005" s="28"/>
      <c r="J1005" s="28" t="s">
        <v>646</v>
      </c>
    </row>
    <row r="1006" ht="22.5" customHeight="1">
      <c r="A1006" s="9"/>
      <c r="B1006" s="56"/>
      <c r="C1006" s="13" t="str">
        <f>IFERROR(__xludf.DUMMYFUNCTION("IF(B1006="""","""",LOWER(REGEXREPLACE(B1006,""[^A-Za-z0-9]"",""""))&amp;""-""&amp;TEXT(COUNTIF($B$2:B1006,B1006),""000""))"),"")</f>
        <v/>
      </c>
      <c r="D1006" s="57"/>
      <c r="E1006" s="58"/>
      <c r="F1006" s="59"/>
      <c r="G1006" s="10"/>
      <c r="H1006" s="55"/>
      <c r="I1006" s="28"/>
      <c r="J1006" s="28" t="s">
        <v>646</v>
      </c>
    </row>
    <row r="1007" ht="22.5" customHeight="1">
      <c r="A1007" s="9"/>
      <c r="B1007" s="56"/>
      <c r="C1007" s="13" t="str">
        <f>IFERROR(__xludf.DUMMYFUNCTION("IF(B1007="""","""",LOWER(REGEXREPLACE(B1007,""[^A-Za-z0-9]"",""""))&amp;""-""&amp;TEXT(COUNTIF($B$2:B1007,B1007),""000""))"),"")</f>
        <v/>
      </c>
      <c r="D1007" s="57"/>
      <c r="E1007" s="58"/>
      <c r="F1007" s="59"/>
      <c r="G1007" s="10"/>
      <c r="H1007" s="55"/>
      <c r="I1007" s="28"/>
      <c r="J1007" s="28" t="s">
        <v>646</v>
      </c>
    </row>
    <row r="1008" ht="22.5" customHeight="1">
      <c r="A1008" s="9"/>
      <c r="B1008" s="56"/>
      <c r="C1008" s="13" t="str">
        <f>IFERROR(__xludf.DUMMYFUNCTION("IF(B1008="""","""",LOWER(REGEXREPLACE(B1008,""[^A-Za-z0-9]"",""""))&amp;""-""&amp;TEXT(COUNTIF($B$2:B1008,B1008),""000""))"),"")</f>
        <v/>
      </c>
      <c r="D1008" s="57"/>
      <c r="E1008" s="58"/>
      <c r="F1008" s="59"/>
      <c r="G1008" s="10"/>
      <c r="H1008" s="55"/>
      <c r="I1008" s="28"/>
      <c r="J1008" s="28" t="s">
        <v>646</v>
      </c>
    </row>
    <row r="1009" ht="22.5" customHeight="1">
      <c r="A1009" s="9"/>
      <c r="B1009" s="56"/>
      <c r="C1009" s="13" t="str">
        <f>IFERROR(__xludf.DUMMYFUNCTION("IF(B1009="""","""",LOWER(REGEXREPLACE(B1009,""[^A-Za-z0-9]"",""""))&amp;""-""&amp;TEXT(COUNTIF($B$2:B1009,B1009),""000""))"),"")</f>
        <v/>
      </c>
      <c r="D1009" s="57"/>
      <c r="E1009" s="58"/>
      <c r="F1009" s="59"/>
      <c r="G1009" s="10"/>
      <c r="H1009" s="55"/>
      <c r="I1009" s="28"/>
      <c r="J1009" s="28" t="s">
        <v>646</v>
      </c>
    </row>
    <row r="1010" ht="22.5" customHeight="1">
      <c r="A1010" s="9"/>
      <c r="B1010" s="56"/>
      <c r="C1010" s="13" t="str">
        <f>IFERROR(__xludf.DUMMYFUNCTION("IF(B1010="""","""",LOWER(REGEXREPLACE(B1010,""[^A-Za-z0-9]"",""""))&amp;""-""&amp;TEXT(COUNTIF($B$2:B1010,B1010),""000""))"),"")</f>
        <v/>
      </c>
      <c r="D1010" s="57"/>
      <c r="E1010" s="58"/>
      <c r="F1010" s="59"/>
      <c r="G1010" s="10"/>
      <c r="H1010" s="55"/>
      <c r="I1010" s="28"/>
      <c r="J1010" s="28" t="s">
        <v>646</v>
      </c>
    </row>
    <row r="1011" ht="22.5" customHeight="1">
      <c r="A1011" s="9"/>
      <c r="B1011" s="56"/>
      <c r="C1011" s="13" t="str">
        <f>IFERROR(__xludf.DUMMYFUNCTION("IF(B1011="""","""",LOWER(REGEXREPLACE(B1011,""[^A-Za-z0-9]"",""""))&amp;""-""&amp;TEXT(COUNTIF($B$2:B1011,B1011),""000""))"),"")</f>
        <v/>
      </c>
      <c r="D1011" s="57"/>
      <c r="E1011" s="58"/>
      <c r="F1011" s="59"/>
      <c r="G1011" s="10"/>
      <c r="H1011" s="55"/>
      <c r="I1011" s="28"/>
      <c r="J1011" s="28" t="s">
        <v>646</v>
      </c>
    </row>
    <row r="1012" ht="22.5" customHeight="1">
      <c r="A1012" s="9"/>
      <c r="B1012" s="56"/>
      <c r="C1012" s="13" t="str">
        <f>IFERROR(__xludf.DUMMYFUNCTION("IF(B1012="""","""",LOWER(REGEXREPLACE(B1012,""[^A-Za-z0-9]"",""""))&amp;""-""&amp;TEXT(COUNTIF($B$2:B1012,B1012),""000""))"),"")</f>
        <v/>
      </c>
      <c r="D1012" s="57"/>
      <c r="E1012" s="58"/>
      <c r="F1012" s="59"/>
      <c r="G1012" s="10"/>
      <c r="H1012" s="55"/>
      <c r="I1012" s="28"/>
      <c r="J1012" s="28" t="s">
        <v>646</v>
      </c>
    </row>
    <row r="1013" ht="22.5" customHeight="1">
      <c r="A1013" s="9"/>
      <c r="B1013" s="56"/>
      <c r="C1013" s="13" t="str">
        <f>IFERROR(__xludf.DUMMYFUNCTION("IF(B1013="""","""",LOWER(REGEXREPLACE(B1013,""[^A-Za-z0-9]"",""""))&amp;""-""&amp;TEXT(COUNTIF($B$2:B1013,B1013),""000""))"),"")</f>
        <v/>
      </c>
      <c r="D1013" s="57"/>
      <c r="E1013" s="58"/>
      <c r="F1013" s="59"/>
      <c r="G1013" s="10"/>
      <c r="H1013" s="55"/>
      <c r="I1013" s="28"/>
      <c r="J1013" s="28" t="s">
        <v>646</v>
      </c>
    </row>
    <row r="1014" ht="22.5" customHeight="1">
      <c r="A1014" s="9"/>
      <c r="B1014" s="56"/>
      <c r="C1014" s="13" t="str">
        <f>IFERROR(__xludf.DUMMYFUNCTION("IF(B1014="""","""",LOWER(REGEXREPLACE(B1014,""[^A-Za-z0-9]"",""""))&amp;""-""&amp;TEXT(COUNTIF($B$2:B1014,B1014),""000""))"),"")</f>
        <v/>
      </c>
      <c r="D1014" s="57"/>
      <c r="E1014" s="58"/>
      <c r="F1014" s="59"/>
      <c r="G1014" s="10"/>
      <c r="H1014" s="55"/>
      <c r="I1014" s="28"/>
      <c r="J1014" s="28" t="s">
        <v>646</v>
      </c>
    </row>
    <row r="1015" ht="22.5" customHeight="1">
      <c r="A1015" s="9"/>
      <c r="B1015" s="56"/>
      <c r="C1015" s="13" t="str">
        <f>IFERROR(__xludf.DUMMYFUNCTION("IF(B1015="""","""",LOWER(REGEXREPLACE(B1015,""[^A-Za-z0-9]"",""""))&amp;""-""&amp;TEXT(COUNTIF($B$2:B1015,B1015),""000""))"),"")</f>
        <v/>
      </c>
      <c r="D1015" s="57"/>
      <c r="E1015" s="58"/>
      <c r="F1015" s="59"/>
      <c r="G1015" s="10"/>
      <c r="H1015" s="55"/>
      <c r="I1015" s="28"/>
      <c r="J1015" s="28" t="s">
        <v>646</v>
      </c>
    </row>
    <row r="1016" ht="22.5" customHeight="1">
      <c r="A1016" s="9"/>
      <c r="B1016" s="56"/>
      <c r="C1016" s="13" t="str">
        <f>IFERROR(__xludf.DUMMYFUNCTION("IF(B1016="""","""",LOWER(REGEXREPLACE(B1016,""[^A-Za-z0-9]"",""""))&amp;""-""&amp;TEXT(COUNTIF($B$2:B1016,B1016),""000""))"),"")</f>
        <v/>
      </c>
      <c r="D1016" s="57"/>
      <c r="E1016" s="58"/>
      <c r="F1016" s="59"/>
      <c r="G1016" s="10"/>
      <c r="H1016" s="55"/>
      <c r="I1016" s="28"/>
      <c r="J1016" s="28" t="s">
        <v>646</v>
      </c>
    </row>
    <row r="1017" ht="22.5" customHeight="1">
      <c r="A1017" s="9"/>
      <c r="B1017" s="56"/>
      <c r="C1017" s="13" t="str">
        <f>IFERROR(__xludf.DUMMYFUNCTION("IF(B1017="""","""",LOWER(REGEXREPLACE(B1017,""[^A-Za-z0-9]"",""""))&amp;""-""&amp;TEXT(COUNTIF($B$2:B1017,B1017),""000""))"),"")</f>
        <v/>
      </c>
      <c r="D1017" s="57"/>
      <c r="E1017" s="58"/>
      <c r="F1017" s="59"/>
      <c r="G1017" s="10"/>
      <c r="H1017" s="55"/>
      <c r="I1017" s="28"/>
      <c r="J1017" s="28" t="s">
        <v>646</v>
      </c>
    </row>
    <row r="1018" ht="22.5" customHeight="1">
      <c r="A1018" s="9"/>
      <c r="B1018" s="56"/>
      <c r="C1018" s="13" t="str">
        <f>IFERROR(__xludf.DUMMYFUNCTION("IF(B1018="""","""",LOWER(REGEXREPLACE(B1018,""[^A-Za-z0-9]"",""""))&amp;""-""&amp;TEXT(COUNTIF($B$2:B1018,B1018),""000""))"),"")</f>
        <v/>
      </c>
      <c r="D1018" s="57"/>
      <c r="E1018" s="58"/>
      <c r="F1018" s="59"/>
      <c r="G1018" s="10"/>
      <c r="H1018" s="55"/>
      <c r="I1018" s="28"/>
      <c r="J1018" s="28" t="s">
        <v>646</v>
      </c>
    </row>
    <row r="1019" ht="22.5" customHeight="1">
      <c r="A1019" s="9"/>
      <c r="B1019" s="56"/>
      <c r="C1019" s="13" t="str">
        <f>IFERROR(__xludf.DUMMYFUNCTION("IF(B1019="""","""",LOWER(REGEXREPLACE(B1019,""[^A-Za-z0-9]"",""""))&amp;""-""&amp;TEXT(COUNTIF($B$2:B1019,B1019),""000""))"),"")</f>
        <v/>
      </c>
      <c r="D1019" s="57"/>
      <c r="E1019" s="58"/>
      <c r="F1019" s="59"/>
      <c r="G1019" s="10"/>
      <c r="H1019" s="55"/>
      <c r="I1019" s="28"/>
      <c r="J1019" s="28" t="s">
        <v>646</v>
      </c>
    </row>
    <row r="1020" ht="22.5" customHeight="1">
      <c r="A1020" s="9"/>
      <c r="B1020" s="56"/>
      <c r="C1020" s="13" t="str">
        <f>IFERROR(__xludf.DUMMYFUNCTION("IF(B1020="""","""",LOWER(REGEXREPLACE(B1020,""[^A-Za-z0-9]"",""""))&amp;""-""&amp;TEXT(COUNTIF($B$2:B1020,B1020),""000""))"),"")</f>
        <v/>
      </c>
      <c r="D1020" s="57"/>
      <c r="E1020" s="58"/>
      <c r="F1020" s="59"/>
      <c r="G1020" s="10"/>
      <c r="H1020" s="55"/>
      <c r="I1020" s="28"/>
      <c r="J1020" s="28" t="s">
        <v>646</v>
      </c>
    </row>
    <row r="1021" ht="22.5" customHeight="1">
      <c r="A1021" s="9"/>
      <c r="B1021" s="56"/>
      <c r="C1021" s="13" t="str">
        <f>IFERROR(__xludf.DUMMYFUNCTION("IF(B1021="""","""",LOWER(REGEXREPLACE(B1021,""[^A-Za-z0-9]"",""""))&amp;""-""&amp;TEXT(COUNTIF($B$2:B1021,B1021),""000""))"),"")</f>
        <v/>
      </c>
      <c r="D1021" s="57"/>
      <c r="E1021" s="58"/>
      <c r="F1021" s="59"/>
      <c r="G1021" s="10"/>
      <c r="H1021" s="55"/>
      <c r="I1021" s="28"/>
      <c r="J1021" s="28" t="s">
        <v>646</v>
      </c>
    </row>
    <row r="1022" ht="22.5" customHeight="1">
      <c r="A1022" s="9"/>
      <c r="B1022" s="56"/>
      <c r="C1022" s="13" t="str">
        <f>IFERROR(__xludf.DUMMYFUNCTION("IF(B1022="""","""",LOWER(REGEXREPLACE(B1022,""[^A-Za-z0-9]"",""""))&amp;""-""&amp;TEXT(COUNTIF($B$2:B1022,B1022),""000""))"),"")</f>
        <v/>
      </c>
      <c r="D1022" s="57"/>
      <c r="E1022" s="58"/>
      <c r="F1022" s="59"/>
      <c r="G1022" s="10"/>
      <c r="H1022" s="55"/>
      <c r="I1022" s="28"/>
      <c r="J1022" s="28" t="s">
        <v>646</v>
      </c>
    </row>
    <row r="1023" ht="22.5" customHeight="1">
      <c r="A1023" s="9"/>
      <c r="B1023" s="56"/>
      <c r="C1023" s="13" t="str">
        <f>IFERROR(__xludf.DUMMYFUNCTION("IF(B1023="""","""",LOWER(REGEXREPLACE(B1023,""[^A-Za-z0-9]"",""""))&amp;""-""&amp;TEXT(COUNTIF($B$2:B1023,B1023),""000""))"),"")</f>
        <v/>
      </c>
      <c r="D1023" s="57"/>
      <c r="E1023" s="58"/>
      <c r="F1023" s="59"/>
      <c r="G1023" s="10"/>
      <c r="H1023" s="55"/>
      <c r="I1023" s="28"/>
      <c r="J1023" s="28" t="s">
        <v>646</v>
      </c>
    </row>
    <row r="1024" ht="22.5" customHeight="1">
      <c r="A1024" s="9"/>
      <c r="B1024" s="56"/>
      <c r="C1024" s="13" t="str">
        <f>IFERROR(__xludf.DUMMYFUNCTION("IF(B1024="""","""",LOWER(REGEXREPLACE(B1024,""[^A-Za-z0-9]"",""""))&amp;""-""&amp;TEXT(COUNTIF($B$2:B1024,B1024),""000""))"),"")</f>
        <v/>
      </c>
      <c r="D1024" s="57"/>
      <c r="E1024" s="58"/>
      <c r="F1024" s="59"/>
      <c r="G1024" s="10"/>
      <c r="H1024" s="55"/>
      <c r="I1024" s="28"/>
      <c r="J1024" s="28" t="s">
        <v>646</v>
      </c>
    </row>
    <row r="1025" ht="22.5" customHeight="1">
      <c r="A1025" s="9"/>
      <c r="B1025" s="56"/>
      <c r="C1025" s="13" t="str">
        <f>IFERROR(__xludf.DUMMYFUNCTION("IF(B1025="""","""",LOWER(REGEXREPLACE(B1025,""[^A-Za-z0-9]"",""""))&amp;""-""&amp;TEXT(COUNTIF($B$2:B1025,B1025),""000""))"),"")</f>
        <v/>
      </c>
      <c r="D1025" s="57"/>
      <c r="E1025" s="58"/>
      <c r="F1025" s="59"/>
      <c r="G1025" s="10"/>
      <c r="H1025" s="55"/>
      <c r="I1025" s="28"/>
      <c r="J1025" s="28" t="s">
        <v>646</v>
      </c>
    </row>
    <row r="1026" ht="22.5" customHeight="1">
      <c r="A1026" s="9"/>
      <c r="B1026" s="56"/>
      <c r="C1026" s="13" t="str">
        <f>IFERROR(__xludf.DUMMYFUNCTION("IF(B1026="""","""",LOWER(REGEXREPLACE(B1026,""[^A-Za-z0-9]"",""""))&amp;""-""&amp;TEXT(COUNTIF($B$2:B1026,B1026),""000""))"),"")</f>
        <v/>
      </c>
      <c r="D1026" s="57"/>
      <c r="E1026" s="58"/>
      <c r="F1026" s="59"/>
      <c r="G1026" s="10"/>
      <c r="H1026" s="55"/>
      <c r="I1026" s="28"/>
      <c r="J1026" s="28" t="s">
        <v>646</v>
      </c>
    </row>
    <row r="1027" ht="22.5" customHeight="1">
      <c r="A1027" s="9"/>
      <c r="B1027" s="56"/>
      <c r="C1027" s="13" t="str">
        <f>IFERROR(__xludf.DUMMYFUNCTION("IF(B1027="""","""",LOWER(REGEXREPLACE(B1027,""[^A-Za-z0-9]"",""""))&amp;""-""&amp;TEXT(COUNTIF($B$2:B1027,B1027),""000""))"),"")</f>
        <v/>
      </c>
      <c r="D1027" s="57"/>
      <c r="E1027" s="58"/>
      <c r="F1027" s="59"/>
      <c r="G1027" s="10"/>
      <c r="H1027" s="55"/>
      <c r="I1027" s="28"/>
      <c r="J1027" s="28" t="s">
        <v>646</v>
      </c>
    </row>
    <row r="1028" ht="22.5" customHeight="1">
      <c r="A1028" s="9"/>
      <c r="B1028" s="56"/>
      <c r="C1028" s="13" t="str">
        <f>IFERROR(__xludf.DUMMYFUNCTION("IF(B1028="""","""",LOWER(REGEXREPLACE(B1028,""[^A-Za-z0-9]"",""""))&amp;""-""&amp;TEXT(COUNTIF($B$2:B1028,B1028),""000""))"),"")</f>
        <v/>
      </c>
      <c r="D1028" s="57"/>
      <c r="E1028" s="58"/>
      <c r="F1028" s="59"/>
      <c r="G1028" s="10"/>
      <c r="H1028" s="55"/>
      <c r="I1028" s="28"/>
      <c r="J1028" s="28" t="s">
        <v>646</v>
      </c>
    </row>
    <row r="1029" ht="22.5" customHeight="1">
      <c r="A1029" s="9"/>
      <c r="B1029" s="56"/>
      <c r="C1029" s="13" t="str">
        <f>IFERROR(__xludf.DUMMYFUNCTION("IF(B1029="""","""",LOWER(REGEXREPLACE(B1029,""[^A-Za-z0-9]"",""""))&amp;""-""&amp;TEXT(COUNTIF($B$2:B1029,B1029),""000""))"),"")</f>
        <v/>
      </c>
      <c r="D1029" s="57"/>
      <c r="E1029" s="58"/>
      <c r="F1029" s="59"/>
      <c r="G1029" s="10"/>
      <c r="H1029" s="55"/>
      <c r="I1029" s="28"/>
      <c r="J1029" s="28" t="s">
        <v>646</v>
      </c>
    </row>
    <row r="1030" ht="22.5" customHeight="1">
      <c r="A1030" s="9"/>
      <c r="B1030" s="56"/>
      <c r="C1030" s="13" t="str">
        <f>IFERROR(__xludf.DUMMYFUNCTION("IF(B1030="""","""",LOWER(REGEXREPLACE(B1030,""[^A-Za-z0-9]"",""""))&amp;""-""&amp;TEXT(COUNTIF($B$2:B1030,B1030),""000""))"),"")</f>
        <v/>
      </c>
      <c r="D1030" s="57"/>
      <c r="E1030" s="58"/>
      <c r="F1030" s="59"/>
      <c r="G1030" s="10"/>
      <c r="H1030" s="55"/>
      <c r="I1030" s="28"/>
      <c r="J1030" s="28" t="s">
        <v>646</v>
      </c>
    </row>
    <row r="1031" ht="22.5" customHeight="1">
      <c r="A1031" s="9"/>
      <c r="B1031" s="56"/>
      <c r="C1031" s="13" t="str">
        <f>IFERROR(__xludf.DUMMYFUNCTION("IF(B1031="""","""",LOWER(REGEXREPLACE(B1031,""[^A-Za-z0-9]"",""""))&amp;""-""&amp;TEXT(COUNTIF($B$2:B1031,B1031),""000""))"),"")</f>
        <v/>
      </c>
      <c r="D1031" s="57"/>
      <c r="E1031" s="58"/>
      <c r="F1031" s="59"/>
      <c r="G1031" s="10"/>
      <c r="H1031" s="55"/>
      <c r="I1031" s="28"/>
      <c r="J1031" s="28" t="s">
        <v>646</v>
      </c>
    </row>
    <row r="1032" ht="22.5" customHeight="1">
      <c r="A1032" s="9"/>
      <c r="B1032" s="56"/>
      <c r="C1032" s="13" t="str">
        <f>IFERROR(__xludf.DUMMYFUNCTION("IF(B1032="""","""",LOWER(REGEXREPLACE(B1032,""[^A-Za-z0-9]"",""""))&amp;""-""&amp;TEXT(COUNTIF($B$2:B1032,B1032),""000""))"),"")</f>
        <v/>
      </c>
      <c r="D1032" s="57"/>
      <c r="E1032" s="58"/>
      <c r="F1032" s="59"/>
      <c r="G1032" s="10"/>
      <c r="H1032" s="55"/>
      <c r="I1032" s="28"/>
      <c r="J1032" s="28" t="s">
        <v>646</v>
      </c>
    </row>
    <row r="1033" ht="22.5" customHeight="1">
      <c r="A1033" s="9"/>
      <c r="B1033" s="56"/>
      <c r="C1033" s="13" t="str">
        <f>IFERROR(__xludf.DUMMYFUNCTION("IF(B1033="""","""",LOWER(REGEXREPLACE(B1033,""[^A-Za-z0-9]"",""""))&amp;""-""&amp;TEXT(COUNTIF($B$2:B1033,B1033),""000""))"),"")</f>
        <v/>
      </c>
      <c r="D1033" s="57"/>
      <c r="E1033" s="58"/>
      <c r="F1033" s="59"/>
      <c r="G1033" s="10"/>
      <c r="H1033" s="55"/>
      <c r="I1033" s="28"/>
      <c r="J1033" s="28" t="s">
        <v>646</v>
      </c>
    </row>
    <row r="1034" ht="22.5" customHeight="1">
      <c r="A1034" s="9"/>
      <c r="B1034" s="56"/>
      <c r="C1034" s="13" t="str">
        <f>IFERROR(__xludf.DUMMYFUNCTION("IF(B1034="""","""",LOWER(REGEXREPLACE(B1034,""[^A-Za-z0-9]"",""""))&amp;""-""&amp;TEXT(COUNTIF($B$2:B1034,B1034),""000""))"),"")</f>
        <v/>
      </c>
      <c r="D1034" s="57"/>
      <c r="E1034" s="58"/>
      <c r="F1034" s="59"/>
      <c r="G1034" s="10"/>
      <c r="H1034" s="55"/>
      <c r="I1034" s="28"/>
      <c r="J1034" s="28" t="s">
        <v>646</v>
      </c>
    </row>
    <row r="1035" ht="22.5" customHeight="1">
      <c r="A1035" s="9"/>
      <c r="B1035" s="56"/>
      <c r="C1035" s="13" t="str">
        <f>IFERROR(__xludf.DUMMYFUNCTION("IF(B1035="""","""",LOWER(REGEXREPLACE(B1035,""[^A-Za-z0-9]"",""""))&amp;""-""&amp;TEXT(COUNTIF($B$2:B1035,B1035),""000""))"),"")</f>
        <v/>
      </c>
      <c r="D1035" s="57"/>
      <c r="E1035" s="58"/>
      <c r="F1035" s="59"/>
      <c r="G1035" s="10"/>
      <c r="H1035" s="55"/>
      <c r="I1035" s="28"/>
      <c r="J1035" s="28" t="s">
        <v>646</v>
      </c>
    </row>
    <row r="1036" ht="22.5" customHeight="1">
      <c r="A1036" s="9"/>
      <c r="B1036" s="56"/>
      <c r="C1036" s="13" t="str">
        <f>IFERROR(__xludf.DUMMYFUNCTION("IF(B1036="""","""",LOWER(REGEXREPLACE(B1036,""[^A-Za-z0-9]"",""""))&amp;""-""&amp;TEXT(COUNTIF($B$2:B1036,B1036),""000""))"),"")</f>
        <v/>
      </c>
      <c r="D1036" s="57"/>
      <c r="E1036" s="58"/>
      <c r="F1036" s="59"/>
      <c r="G1036" s="10"/>
      <c r="H1036" s="55"/>
      <c r="I1036" s="28"/>
      <c r="J1036" s="28" t="s">
        <v>646</v>
      </c>
    </row>
    <row r="1037" ht="22.5" customHeight="1">
      <c r="A1037" s="9"/>
      <c r="B1037" s="56"/>
      <c r="C1037" s="13" t="str">
        <f>IFERROR(__xludf.DUMMYFUNCTION("IF(B1037="""","""",LOWER(REGEXREPLACE(B1037,""[^A-Za-z0-9]"",""""))&amp;""-""&amp;TEXT(COUNTIF($B$2:B1037,B1037),""000""))"),"")</f>
        <v/>
      </c>
      <c r="D1037" s="57"/>
      <c r="E1037" s="58"/>
      <c r="F1037" s="59"/>
      <c r="G1037" s="10"/>
      <c r="H1037" s="55"/>
      <c r="I1037" s="28"/>
      <c r="J1037" s="28" t="s">
        <v>646</v>
      </c>
    </row>
    <row r="1038" ht="22.5" customHeight="1">
      <c r="A1038" s="9"/>
      <c r="B1038" s="56"/>
      <c r="C1038" s="13" t="str">
        <f>IFERROR(__xludf.DUMMYFUNCTION("IF(B1038="""","""",LOWER(REGEXREPLACE(B1038,""[^A-Za-z0-9]"",""""))&amp;""-""&amp;TEXT(COUNTIF($B$2:B1038,B1038),""000""))"),"")</f>
        <v/>
      </c>
      <c r="D1038" s="57"/>
      <c r="E1038" s="58"/>
      <c r="F1038" s="59"/>
      <c r="G1038" s="10"/>
      <c r="H1038" s="55"/>
      <c r="I1038" s="28"/>
      <c r="J1038" s="28" t="s">
        <v>646</v>
      </c>
    </row>
    <row r="1039" ht="22.5" customHeight="1">
      <c r="A1039" s="9"/>
      <c r="B1039" s="56"/>
      <c r="C1039" s="13" t="str">
        <f>IFERROR(__xludf.DUMMYFUNCTION("IF(B1039="""","""",LOWER(REGEXREPLACE(B1039,""[^A-Za-z0-9]"",""""))&amp;""-""&amp;TEXT(COUNTIF($B$2:B1039,B1039),""000""))"),"")</f>
        <v/>
      </c>
      <c r="D1039" s="57"/>
      <c r="E1039" s="58"/>
      <c r="F1039" s="59"/>
      <c r="G1039" s="10"/>
      <c r="H1039" s="55"/>
      <c r="I1039" s="28"/>
      <c r="J1039" s="28" t="s">
        <v>646</v>
      </c>
    </row>
    <row r="1040" ht="22.5" customHeight="1">
      <c r="A1040" s="9"/>
      <c r="B1040" s="56"/>
      <c r="C1040" s="13" t="str">
        <f>IFERROR(__xludf.DUMMYFUNCTION("IF(B1040="""","""",LOWER(REGEXREPLACE(B1040,""[^A-Za-z0-9]"",""""))&amp;""-""&amp;TEXT(COUNTIF($B$2:B1040,B1040),""000""))"),"")</f>
        <v/>
      </c>
      <c r="D1040" s="57"/>
      <c r="E1040" s="58"/>
      <c r="F1040" s="59"/>
      <c r="G1040" s="10"/>
      <c r="H1040" s="55"/>
      <c r="I1040" s="28"/>
      <c r="J1040" s="28" t="s">
        <v>646</v>
      </c>
    </row>
    <row r="1041" ht="22.5" customHeight="1">
      <c r="A1041" s="9"/>
      <c r="B1041" s="56"/>
      <c r="C1041" s="13" t="str">
        <f>IFERROR(__xludf.DUMMYFUNCTION("IF(B1041="""","""",LOWER(REGEXREPLACE(B1041,""[^A-Za-z0-9]"",""""))&amp;""-""&amp;TEXT(COUNTIF($B$2:B1041,B1041),""000""))"),"")</f>
        <v/>
      </c>
      <c r="D1041" s="57"/>
      <c r="E1041" s="58"/>
      <c r="F1041" s="59"/>
      <c r="G1041" s="10"/>
      <c r="H1041" s="55"/>
      <c r="I1041" s="28"/>
      <c r="J1041" s="28" t="s">
        <v>646</v>
      </c>
    </row>
    <row r="1042" ht="22.5" customHeight="1">
      <c r="A1042" s="9"/>
      <c r="B1042" s="56"/>
      <c r="C1042" s="13" t="str">
        <f>IFERROR(__xludf.DUMMYFUNCTION("IF(B1042="""","""",LOWER(REGEXREPLACE(B1042,""[^A-Za-z0-9]"",""""))&amp;""-""&amp;TEXT(COUNTIF($B$2:B1042,B1042),""000""))"),"")</f>
        <v/>
      </c>
      <c r="D1042" s="57"/>
      <c r="E1042" s="58"/>
      <c r="F1042" s="59"/>
      <c r="G1042" s="10"/>
      <c r="H1042" s="55"/>
      <c r="I1042" s="28"/>
      <c r="J1042" s="28" t="s">
        <v>646</v>
      </c>
    </row>
    <row r="1043" ht="22.5" customHeight="1">
      <c r="A1043" s="9"/>
      <c r="B1043" s="56"/>
      <c r="C1043" s="13" t="str">
        <f>IFERROR(__xludf.DUMMYFUNCTION("IF(B1043="""","""",LOWER(REGEXREPLACE(B1043,""[^A-Za-z0-9]"",""""))&amp;""-""&amp;TEXT(COUNTIF($B$2:B1043,B1043),""000""))"),"")</f>
        <v/>
      </c>
      <c r="D1043" s="57"/>
      <c r="E1043" s="58"/>
      <c r="F1043" s="59"/>
      <c r="G1043" s="10"/>
      <c r="H1043" s="55"/>
      <c r="I1043" s="28"/>
      <c r="J1043" s="28" t="s">
        <v>646</v>
      </c>
    </row>
    <row r="1044" ht="22.5" customHeight="1">
      <c r="A1044" s="9"/>
      <c r="B1044" s="56"/>
      <c r="C1044" s="13" t="str">
        <f>IFERROR(__xludf.DUMMYFUNCTION("IF(B1044="""","""",LOWER(REGEXREPLACE(B1044,""[^A-Za-z0-9]"",""""))&amp;""-""&amp;TEXT(COUNTIF($B$2:B1044,B1044),""000""))"),"")</f>
        <v/>
      </c>
      <c r="D1044" s="57"/>
      <c r="E1044" s="58"/>
      <c r="F1044" s="59"/>
      <c r="G1044" s="10"/>
      <c r="H1044" s="55"/>
      <c r="I1044" s="28"/>
      <c r="J1044" s="28" t="s">
        <v>646</v>
      </c>
    </row>
    <row r="1045" ht="22.5" customHeight="1">
      <c r="A1045" s="9"/>
      <c r="B1045" s="56"/>
      <c r="C1045" s="13" t="str">
        <f>IFERROR(__xludf.DUMMYFUNCTION("IF(B1045="""","""",LOWER(REGEXREPLACE(B1045,""[^A-Za-z0-9]"",""""))&amp;""-""&amp;TEXT(COUNTIF($B$2:B1045,B1045),""000""))"),"")</f>
        <v/>
      </c>
      <c r="D1045" s="57"/>
      <c r="E1045" s="58"/>
      <c r="F1045" s="59"/>
      <c r="G1045" s="10"/>
      <c r="H1045" s="55"/>
      <c r="I1045" s="28"/>
      <c r="J1045" s="28" t="s">
        <v>646</v>
      </c>
    </row>
    <row r="1046" ht="22.5" customHeight="1">
      <c r="A1046" s="9"/>
      <c r="B1046" s="56"/>
      <c r="C1046" s="13" t="str">
        <f>IFERROR(__xludf.DUMMYFUNCTION("IF(B1046="""","""",LOWER(REGEXREPLACE(B1046,""[^A-Za-z0-9]"",""""))&amp;""-""&amp;TEXT(COUNTIF($B$2:B1046,B1046),""000""))"),"")</f>
        <v/>
      </c>
      <c r="D1046" s="57"/>
      <c r="E1046" s="58"/>
      <c r="F1046" s="59"/>
      <c r="G1046" s="10"/>
      <c r="H1046" s="55"/>
      <c r="I1046" s="28"/>
      <c r="J1046" s="28" t="s">
        <v>646</v>
      </c>
    </row>
    <row r="1047" ht="22.5" customHeight="1">
      <c r="A1047" s="9"/>
      <c r="B1047" s="56"/>
      <c r="C1047" s="13" t="str">
        <f>IFERROR(__xludf.DUMMYFUNCTION("IF(B1047="""","""",LOWER(REGEXREPLACE(B1047,""[^A-Za-z0-9]"",""""))&amp;""-""&amp;TEXT(COUNTIF($B$2:B1047,B1047),""000""))"),"")</f>
        <v/>
      </c>
      <c r="D1047" s="57"/>
      <c r="E1047" s="58"/>
      <c r="F1047" s="59"/>
      <c r="G1047" s="10"/>
      <c r="H1047" s="55"/>
      <c r="I1047" s="28"/>
      <c r="J1047" s="28" t="s">
        <v>646</v>
      </c>
    </row>
    <row r="1048" ht="22.5" customHeight="1">
      <c r="A1048" s="9"/>
      <c r="B1048" s="56"/>
      <c r="C1048" s="13" t="str">
        <f>IFERROR(__xludf.DUMMYFUNCTION("IF(B1048="""","""",LOWER(REGEXREPLACE(B1048,""[^A-Za-z0-9]"",""""))&amp;""-""&amp;TEXT(COUNTIF($B$2:B1048,B1048),""000""))"),"")</f>
        <v/>
      </c>
      <c r="D1048" s="57"/>
      <c r="E1048" s="58"/>
      <c r="F1048" s="59"/>
      <c r="G1048" s="10"/>
      <c r="H1048" s="55"/>
      <c r="I1048" s="28"/>
      <c r="J1048" s="28" t="s">
        <v>646</v>
      </c>
    </row>
    <row r="1049" ht="22.5" customHeight="1">
      <c r="A1049" s="9"/>
      <c r="B1049" s="56"/>
      <c r="C1049" s="13" t="str">
        <f>IFERROR(__xludf.DUMMYFUNCTION("IF(B1049="""","""",LOWER(REGEXREPLACE(B1049,""[^A-Za-z0-9]"",""""))&amp;""-""&amp;TEXT(COUNTIF($B$2:B1049,B1049),""000""))"),"")</f>
        <v/>
      </c>
      <c r="D1049" s="57"/>
      <c r="E1049" s="58"/>
      <c r="F1049" s="59"/>
      <c r="G1049" s="10"/>
      <c r="H1049" s="55"/>
      <c r="I1049" s="28"/>
      <c r="J1049" s="28" t="s">
        <v>646</v>
      </c>
    </row>
    <row r="1050" ht="22.5" customHeight="1">
      <c r="A1050" s="9"/>
      <c r="B1050" s="56"/>
      <c r="C1050" s="13" t="str">
        <f>IFERROR(__xludf.DUMMYFUNCTION("IF(B1050="""","""",LOWER(REGEXREPLACE(B1050,""[^A-Za-z0-9]"",""""))&amp;""-""&amp;TEXT(COUNTIF($B$2:B1050,B1050),""000""))"),"")</f>
        <v/>
      </c>
      <c r="D1050" s="57"/>
      <c r="E1050" s="58"/>
      <c r="F1050" s="59"/>
      <c r="G1050" s="10"/>
      <c r="H1050" s="55"/>
      <c r="I1050" s="28"/>
      <c r="J1050" s="28" t="s">
        <v>646</v>
      </c>
    </row>
    <row r="1051" ht="22.5" customHeight="1">
      <c r="A1051" s="9"/>
      <c r="B1051" s="56"/>
      <c r="C1051" s="13" t="str">
        <f>IFERROR(__xludf.DUMMYFUNCTION("IF(B1051="""","""",LOWER(REGEXREPLACE(B1051,""[^A-Za-z0-9]"",""""))&amp;""-""&amp;TEXT(COUNTIF($B$2:B1051,B1051),""000""))"),"")</f>
        <v/>
      </c>
      <c r="D1051" s="57"/>
      <c r="E1051" s="58"/>
      <c r="F1051" s="59"/>
      <c r="G1051" s="10"/>
      <c r="H1051" s="55"/>
      <c r="I1051" s="28"/>
      <c r="J1051" s="28" t="s">
        <v>646</v>
      </c>
    </row>
    <row r="1052" ht="22.5" customHeight="1">
      <c r="A1052" s="9"/>
      <c r="B1052" s="56"/>
      <c r="C1052" s="13" t="str">
        <f>IFERROR(__xludf.DUMMYFUNCTION("IF(B1052="""","""",LOWER(REGEXREPLACE(B1052,""[^A-Za-z0-9]"",""""))&amp;""-""&amp;TEXT(COUNTIF($B$2:B1052,B1052),""000""))"),"")</f>
        <v/>
      </c>
      <c r="D1052" s="57"/>
      <c r="E1052" s="58"/>
      <c r="F1052" s="59"/>
      <c r="G1052" s="10"/>
      <c r="H1052" s="55"/>
      <c r="I1052" s="28"/>
      <c r="J1052" s="28" t="s">
        <v>646</v>
      </c>
    </row>
    <row r="1053" ht="22.5" customHeight="1">
      <c r="A1053" s="9"/>
      <c r="B1053" s="56"/>
      <c r="C1053" s="13" t="str">
        <f>IFERROR(__xludf.DUMMYFUNCTION("IF(B1053="""","""",LOWER(REGEXREPLACE(B1053,""[^A-Za-z0-9]"",""""))&amp;""-""&amp;TEXT(COUNTIF($B$2:B1053,B1053),""000""))"),"")</f>
        <v/>
      </c>
      <c r="D1053" s="57"/>
      <c r="E1053" s="58"/>
      <c r="F1053" s="59"/>
      <c r="G1053" s="10"/>
      <c r="H1053" s="55"/>
      <c r="I1053" s="28"/>
      <c r="J1053" s="28" t="s">
        <v>646</v>
      </c>
    </row>
    <row r="1054" ht="22.5" customHeight="1">
      <c r="A1054" s="9"/>
      <c r="B1054" s="56"/>
      <c r="C1054" s="13" t="str">
        <f>IFERROR(__xludf.DUMMYFUNCTION("IF(B1054="""","""",LOWER(REGEXREPLACE(B1054,""[^A-Za-z0-9]"",""""))&amp;""-""&amp;TEXT(COUNTIF($B$2:B1054,B1054),""000""))"),"")</f>
        <v/>
      </c>
      <c r="D1054" s="57"/>
      <c r="E1054" s="58"/>
      <c r="F1054" s="59"/>
      <c r="G1054" s="10"/>
      <c r="H1054" s="55"/>
      <c r="I1054" s="28"/>
      <c r="J1054" s="28" t="s">
        <v>646</v>
      </c>
    </row>
    <row r="1055" ht="22.5" customHeight="1">
      <c r="A1055" s="9"/>
      <c r="B1055" s="56"/>
      <c r="C1055" s="13" t="str">
        <f>IFERROR(__xludf.DUMMYFUNCTION("IF(B1055="""","""",LOWER(REGEXREPLACE(B1055,""[^A-Za-z0-9]"",""""))&amp;""-""&amp;TEXT(COUNTIF($B$2:B1055,B1055),""000""))"),"")</f>
        <v/>
      </c>
      <c r="D1055" s="57"/>
      <c r="E1055" s="58"/>
      <c r="F1055" s="59"/>
      <c r="G1055" s="10"/>
      <c r="H1055" s="55"/>
      <c r="I1055" s="28"/>
      <c r="J1055" s="28" t="s">
        <v>646</v>
      </c>
    </row>
    <row r="1056" ht="22.5" customHeight="1">
      <c r="A1056" s="9"/>
      <c r="B1056" s="56"/>
      <c r="C1056" s="13" t="str">
        <f>IFERROR(__xludf.DUMMYFUNCTION("IF(B1056="""","""",LOWER(REGEXREPLACE(B1056,""[^A-Za-z0-9]"",""""))&amp;""-""&amp;TEXT(COUNTIF($B$2:B1056,B1056),""000""))"),"")</f>
        <v/>
      </c>
      <c r="D1056" s="57"/>
      <c r="E1056" s="58"/>
      <c r="F1056" s="59"/>
      <c r="G1056" s="10"/>
      <c r="H1056" s="55"/>
      <c r="I1056" s="28"/>
      <c r="J1056" s="28" t="s">
        <v>646</v>
      </c>
    </row>
    <row r="1057" ht="22.5" customHeight="1">
      <c r="A1057" s="9"/>
      <c r="B1057" s="56"/>
      <c r="C1057" s="13" t="str">
        <f>IFERROR(__xludf.DUMMYFUNCTION("IF(B1057="""","""",LOWER(REGEXREPLACE(B1057,""[^A-Za-z0-9]"",""""))&amp;""-""&amp;TEXT(COUNTIF($B$2:B1057,B1057),""000""))"),"")</f>
        <v/>
      </c>
      <c r="D1057" s="57"/>
      <c r="E1057" s="58"/>
      <c r="F1057" s="59"/>
      <c r="G1057" s="10"/>
      <c r="H1057" s="55"/>
      <c r="I1057" s="28"/>
      <c r="J1057" s="28" t="s">
        <v>646</v>
      </c>
    </row>
    <row r="1058" ht="22.5" customHeight="1">
      <c r="A1058" s="9"/>
      <c r="B1058" s="56"/>
      <c r="C1058" s="13" t="str">
        <f>IFERROR(__xludf.DUMMYFUNCTION("IF(B1058="""","""",LOWER(REGEXREPLACE(B1058,""[^A-Za-z0-9]"",""""))&amp;""-""&amp;TEXT(COUNTIF($B$2:B1058,B1058),""000""))"),"")</f>
        <v/>
      </c>
      <c r="D1058" s="57"/>
      <c r="E1058" s="58"/>
      <c r="F1058" s="59"/>
      <c r="G1058" s="10"/>
      <c r="H1058" s="55"/>
      <c r="I1058" s="28"/>
      <c r="J1058" s="28" t="s">
        <v>646</v>
      </c>
    </row>
    <row r="1059" ht="22.5" customHeight="1">
      <c r="A1059" s="9"/>
      <c r="B1059" s="56"/>
      <c r="C1059" s="13" t="str">
        <f>IFERROR(__xludf.DUMMYFUNCTION("IF(B1059="""","""",LOWER(REGEXREPLACE(B1059,""[^A-Za-z0-9]"",""""))&amp;""-""&amp;TEXT(COUNTIF($B$2:B1059,B1059),""000""))"),"")</f>
        <v/>
      </c>
      <c r="D1059" s="57"/>
      <c r="E1059" s="58"/>
      <c r="F1059" s="59"/>
      <c r="G1059" s="10"/>
      <c r="H1059" s="55"/>
      <c r="I1059" s="28"/>
      <c r="J1059" s="28" t="s">
        <v>646</v>
      </c>
    </row>
    <row r="1060" ht="22.5" customHeight="1">
      <c r="A1060" s="9"/>
      <c r="B1060" s="56"/>
      <c r="C1060" s="13" t="str">
        <f>IFERROR(__xludf.DUMMYFUNCTION("IF(B1060="""","""",LOWER(REGEXREPLACE(B1060,""[^A-Za-z0-9]"",""""))&amp;""-""&amp;TEXT(COUNTIF($B$2:B1060,B1060),""000""))"),"")</f>
        <v/>
      </c>
      <c r="D1060" s="57"/>
      <c r="E1060" s="58"/>
      <c r="F1060" s="59"/>
      <c r="G1060" s="10"/>
      <c r="H1060" s="55"/>
      <c r="I1060" s="28"/>
      <c r="J1060" s="28" t="s">
        <v>646</v>
      </c>
    </row>
    <row r="1061" ht="22.5" customHeight="1">
      <c r="A1061" s="9"/>
      <c r="B1061" s="56"/>
      <c r="C1061" s="13" t="str">
        <f>IFERROR(__xludf.DUMMYFUNCTION("IF(B1061="""","""",LOWER(REGEXREPLACE(B1061,""[^A-Za-z0-9]"",""""))&amp;""-""&amp;TEXT(COUNTIF($B$2:B1061,B1061),""000""))"),"")</f>
        <v/>
      </c>
      <c r="D1061" s="57"/>
      <c r="E1061" s="58"/>
      <c r="F1061" s="59"/>
      <c r="G1061" s="10"/>
      <c r="H1061" s="55"/>
      <c r="I1061" s="28"/>
      <c r="J1061" s="28" t="s">
        <v>646</v>
      </c>
    </row>
    <row r="1062" ht="22.5" customHeight="1">
      <c r="A1062" s="9"/>
      <c r="B1062" s="56"/>
      <c r="C1062" s="13" t="str">
        <f>IFERROR(__xludf.DUMMYFUNCTION("IF(B1062="""","""",LOWER(REGEXREPLACE(B1062,""[^A-Za-z0-9]"",""""))&amp;""-""&amp;TEXT(COUNTIF($B$2:B1062,B1062),""000""))"),"")</f>
        <v/>
      </c>
      <c r="D1062" s="57"/>
      <c r="E1062" s="58"/>
      <c r="F1062" s="59"/>
      <c r="G1062" s="10"/>
      <c r="H1062" s="55"/>
      <c r="I1062" s="28"/>
      <c r="J1062" s="28" t="s">
        <v>646</v>
      </c>
    </row>
    <row r="1063" ht="22.5" customHeight="1">
      <c r="A1063" s="9"/>
      <c r="B1063" s="56"/>
      <c r="C1063" s="13" t="str">
        <f>IFERROR(__xludf.DUMMYFUNCTION("IF(B1063="""","""",LOWER(REGEXREPLACE(B1063,""[^A-Za-z0-9]"",""""))&amp;""-""&amp;TEXT(COUNTIF($B$2:B1063,B1063),""000""))"),"")</f>
        <v/>
      </c>
      <c r="D1063" s="57"/>
      <c r="E1063" s="58"/>
      <c r="F1063" s="59"/>
      <c r="G1063" s="10"/>
      <c r="H1063" s="55"/>
      <c r="I1063" s="28"/>
      <c r="J1063" s="28" t="s">
        <v>646</v>
      </c>
    </row>
    <row r="1064" ht="22.5" customHeight="1">
      <c r="A1064" s="9"/>
      <c r="B1064" s="56"/>
      <c r="C1064" s="13" t="str">
        <f>IFERROR(__xludf.DUMMYFUNCTION("IF(B1064="""","""",LOWER(REGEXREPLACE(B1064,""[^A-Za-z0-9]"",""""))&amp;""-""&amp;TEXT(COUNTIF($B$2:B1064,B1064),""000""))"),"")</f>
        <v/>
      </c>
      <c r="D1064" s="57"/>
      <c r="E1064" s="58"/>
      <c r="F1064" s="59"/>
      <c r="G1064" s="10"/>
      <c r="H1064" s="55"/>
      <c r="I1064" s="28"/>
      <c r="J1064" s="28" t="s">
        <v>646</v>
      </c>
    </row>
    <row r="1065" ht="22.5" customHeight="1">
      <c r="A1065" s="9"/>
      <c r="B1065" s="56"/>
      <c r="C1065" s="13" t="str">
        <f>IFERROR(__xludf.DUMMYFUNCTION("IF(B1065="""","""",LOWER(REGEXREPLACE(B1065,""[^A-Za-z0-9]"",""""))&amp;""-""&amp;TEXT(COUNTIF($B$2:B1065,B1065),""000""))"),"")</f>
        <v/>
      </c>
      <c r="D1065" s="57"/>
      <c r="E1065" s="58"/>
      <c r="F1065" s="59"/>
      <c r="G1065" s="10"/>
      <c r="H1065" s="55"/>
      <c r="I1065" s="28"/>
      <c r="J1065" s="28" t="s">
        <v>646</v>
      </c>
    </row>
    <row r="1066" ht="22.5" customHeight="1">
      <c r="A1066" s="9"/>
      <c r="B1066" s="56"/>
      <c r="C1066" s="13" t="str">
        <f>IFERROR(__xludf.DUMMYFUNCTION("IF(B1066="""","""",LOWER(REGEXREPLACE(B1066,""[^A-Za-z0-9]"",""""))&amp;""-""&amp;TEXT(COUNTIF($B$2:B1066,B1066),""000""))"),"")</f>
        <v/>
      </c>
      <c r="D1066" s="57"/>
      <c r="E1066" s="58"/>
      <c r="F1066" s="59"/>
      <c r="G1066" s="10"/>
      <c r="H1066" s="55"/>
      <c r="I1066" s="28"/>
      <c r="J1066" s="28" t="s">
        <v>646</v>
      </c>
    </row>
    <row r="1067" ht="22.5" customHeight="1">
      <c r="A1067" s="9"/>
      <c r="B1067" s="56"/>
      <c r="C1067" s="13" t="str">
        <f>IFERROR(__xludf.DUMMYFUNCTION("IF(B1067="""","""",LOWER(REGEXREPLACE(B1067,""[^A-Za-z0-9]"",""""))&amp;""-""&amp;TEXT(COUNTIF($B$2:B1067,B1067),""000""))"),"")</f>
        <v/>
      </c>
      <c r="D1067" s="57"/>
      <c r="E1067" s="58"/>
      <c r="F1067" s="59"/>
      <c r="G1067" s="10"/>
      <c r="H1067" s="55"/>
      <c r="I1067" s="28"/>
      <c r="J1067" s="28" t="s">
        <v>646</v>
      </c>
    </row>
    <row r="1068" ht="22.5" customHeight="1">
      <c r="A1068" s="9"/>
      <c r="B1068" s="56"/>
      <c r="C1068" s="13" t="str">
        <f>IFERROR(__xludf.DUMMYFUNCTION("IF(B1068="""","""",LOWER(REGEXREPLACE(B1068,""[^A-Za-z0-9]"",""""))&amp;""-""&amp;TEXT(COUNTIF($B$2:B1068,B1068),""000""))"),"")</f>
        <v/>
      </c>
      <c r="D1068" s="57"/>
      <c r="E1068" s="58"/>
      <c r="F1068" s="59"/>
      <c r="G1068" s="10"/>
      <c r="H1068" s="55"/>
      <c r="I1068" s="28"/>
      <c r="J1068" s="28" t="s">
        <v>646</v>
      </c>
    </row>
    <row r="1069" ht="22.5" customHeight="1">
      <c r="A1069" s="9"/>
      <c r="B1069" s="56"/>
      <c r="C1069" s="13" t="str">
        <f>IFERROR(__xludf.DUMMYFUNCTION("IF(B1069="""","""",LOWER(REGEXREPLACE(B1069,""[^A-Za-z0-9]"",""""))&amp;""-""&amp;TEXT(COUNTIF($B$2:B1069,B1069),""000""))"),"")</f>
        <v/>
      </c>
      <c r="D1069" s="57"/>
      <c r="E1069" s="58"/>
      <c r="F1069" s="59"/>
      <c r="G1069" s="10"/>
      <c r="H1069" s="55"/>
      <c r="I1069" s="28"/>
      <c r="J1069" s="28" t="s">
        <v>646</v>
      </c>
    </row>
    <row r="1070" ht="22.5" customHeight="1">
      <c r="A1070" s="9"/>
      <c r="B1070" s="56"/>
      <c r="C1070" s="13" t="str">
        <f>IFERROR(__xludf.DUMMYFUNCTION("IF(B1070="""","""",LOWER(REGEXREPLACE(B1070,""[^A-Za-z0-9]"",""""))&amp;""-""&amp;TEXT(COUNTIF($B$2:B1070,B1070),""000""))"),"")</f>
        <v/>
      </c>
      <c r="D1070" s="57"/>
      <c r="E1070" s="58"/>
      <c r="F1070" s="59"/>
      <c r="G1070" s="10"/>
      <c r="H1070" s="55"/>
      <c r="I1070" s="28"/>
      <c r="J1070" s="28" t="s">
        <v>646</v>
      </c>
    </row>
    <row r="1071" ht="22.5" customHeight="1">
      <c r="A1071" s="9"/>
      <c r="B1071" s="56"/>
      <c r="C1071" s="13" t="str">
        <f>IFERROR(__xludf.DUMMYFUNCTION("IF(B1071="""","""",LOWER(REGEXREPLACE(B1071,""[^A-Za-z0-9]"",""""))&amp;""-""&amp;TEXT(COUNTIF($B$2:B1071,B1071),""000""))"),"")</f>
        <v/>
      </c>
      <c r="D1071" s="57"/>
      <c r="E1071" s="58"/>
      <c r="F1071" s="59"/>
      <c r="G1071" s="10"/>
      <c r="H1071" s="55"/>
      <c r="I1071" s="28"/>
      <c r="J1071" s="28" t="s">
        <v>646</v>
      </c>
    </row>
    <row r="1072" ht="22.5" customHeight="1">
      <c r="A1072" s="9"/>
      <c r="B1072" s="56"/>
      <c r="C1072" s="13" t="str">
        <f>IFERROR(__xludf.DUMMYFUNCTION("IF(B1072="""","""",LOWER(REGEXREPLACE(B1072,""[^A-Za-z0-9]"",""""))&amp;""-""&amp;TEXT(COUNTIF($B$2:B1072,B1072),""000""))"),"")</f>
        <v/>
      </c>
      <c r="D1072" s="57"/>
      <c r="E1072" s="58"/>
      <c r="F1072" s="59"/>
      <c r="G1072" s="10"/>
      <c r="H1072" s="55"/>
      <c r="I1072" s="28"/>
      <c r="J1072" s="28" t="s">
        <v>646</v>
      </c>
    </row>
    <row r="1073" ht="22.5" customHeight="1">
      <c r="A1073" s="9"/>
      <c r="B1073" s="56"/>
      <c r="C1073" s="13" t="str">
        <f>IFERROR(__xludf.DUMMYFUNCTION("IF(B1073="""","""",LOWER(REGEXREPLACE(B1073,""[^A-Za-z0-9]"",""""))&amp;""-""&amp;TEXT(COUNTIF($B$2:B1073,B1073),""000""))"),"")</f>
        <v/>
      </c>
      <c r="D1073" s="57"/>
      <c r="E1073" s="58"/>
      <c r="F1073" s="59"/>
      <c r="G1073" s="10"/>
      <c r="H1073" s="55"/>
      <c r="I1073" s="28"/>
      <c r="J1073" s="28" t="s">
        <v>646</v>
      </c>
    </row>
    <row r="1074" ht="22.5" customHeight="1">
      <c r="A1074" s="9"/>
      <c r="B1074" s="56"/>
      <c r="C1074" s="13" t="str">
        <f>IFERROR(__xludf.DUMMYFUNCTION("IF(B1074="""","""",LOWER(REGEXREPLACE(B1074,""[^A-Za-z0-9]"",""""))&amp;""-""&amp;TEXT(COUNTIF($B$2:B1074,B1074),""000""))"),"")</f>
        <v/>
      </c>
      <c r="D1074" s="57"/>
      <c r="E1074" s="58"/>
      <c r="F1074" s="59"/>
      <c r="G1074" s="10"/>
      <c r="H1074" s="55"/>
      <c r="I1074" s="28"/>
      <c r="J1074" s="28" t="s">
        <v>646</v>
      </c>
    </row>
    <row r="1075" ht="22.5" customHeight="1">
      <c r="A1075" s="9"/>
      <c r="B1075" s="56"/>
      <c r="C1075" s="13" t="str">
        <f>IFERROR(__xludf.DUMMYFUNCTION("IF(B1075="""","""",LOWER(REGEXREPLACE(B1075,""[^A-Za-z0-9]"",""""))&amp;""-""&amp;TEXT(COUNTIF($B$2:B1075,B1075),""000""))"),"")</f>
        <v/>
      </c>
      <c r="D1075" s="57"/>
      <c r="E1075" s="58"/>
      <c r="F1075" s="59"/>
      <c r="G1075" s="10"/>
      <c r="H1075" s="55"/>
      <c r="I1075" s="28"/>
      <c r="J1075" s="28" t="s">
        <v>646</v>
      </c>
    </row>
    <row r="1076" ht="22.5" customHeight="1">
      <c r="A1076" s="9"/>
      <c r="B1076" s="56"/>
      <c r="C1076" s="13" t="str">
        <f>IFERROR(__xludf.DUMMYFUNCTION("IF(B1076="""","""",LOWER(REGEXREPLACE(B1076,""[^A-Za-z0-9]"",""""))&amp;""-""&amp;TEXT(COUNTIF($B$2:B1076,B1076),""000""))"),"")</f>
        <v/>
      </c>
      <c r="D1076" s="57"/>
      <c r="E1076" s="58"/>
      <c r="F1076" s="59"/>
      <c r="G1076" s="10"/>
      <c r="H1076" s="55"/>
      <c r="I1076" s="28"/>
      <c r="J1076" s="28" t="s">
        <v>646</v>
      </c>
    </row>
    <row r="1077" ht="22.5" customHeight="1">
      <c r="A1077" s="9"/>
      <c r="B1077" s="56"/>
      <c r="C1077" s="13" t="str">
        <f>IFERROR(__xludf.DUMMYFUNCTION("IF(B1077="""","""",LOWER(REGEXREPLACE(B1077,""[^A-Za-z0-9]"",""""))&amp;""-""&amp;TEXT(COUNTIF($B$2:B1077,B1077),""000""))"),"")</f>
        <v/>
      </c>
      <c r="D1077" s="57"/>
      <c r="E1077" s="58"/>
      <c r="F1077" s="59"/>
      <c r="G1077" s="10"/>
      <c r="H1077" s="55"/>
      <c r="I1077" s="28"/>
      <c r="J1077" s="28" t="s">
        <v>646</v>
      </c>
    </row>
    <row r="1078" ht="22.5" customHeight="1">
      <c r="A1078" s="9"/>
      <c r="B1078" s="56"/>
      <c r="C1078" s="13" t="str">
        <f>IFERROR(__xludf.DUMMYFUNCTION("IF(B1078="""","""",LOWER(REGEXREPLACE(B1078,""[^A-Za-z0-9]"",""""))&amp;""-""&amp;TEXT(COUNTIF($B$2:B1078,B1078),""000""))"),"")</f>
        <v/>
      </c>
      <c r="D1078" s="57"/>
      <c r="E1078" s="58"/>
      <c r="F1078" s="59"/>
      <c r="G1078" s="10"/>
      <c r="H1078" s="55"/>
      <c r="I1078" s="28"/>
      <c r="J1078" s="28" t="s">
        <v>646</v>
      </c>
    </row>
    <row r="1079" ht="22.5" customHeight="1">
      <c r="A1079" s="9"/>
      <c r="B1079" s="56"/>
      <c r="C1079" s="13" t="str">
        <f>IFERROR(__xludf.DUMMYFUNCTION("IF(B1079="""","""",LOWER(REGEXREPLACE(B1079,""[^A-Za-z0-9]"",""""))&amp;""-""&amp;TEXT(COUNTIF($B$2:B1079,B1079),""000""))"),"")</f>
        <v/>
      </c>
      <c r="D1079" s="57"/>
      <c r="E1079" s="58"/>
      <c r="F1079" s="59"/>
      <c r="G1079" s="10"/>
      <c r="H1079" s="55"/>
      <c r="I1079" s="28"/>
      <c r="J1079" s="28" t="s">
        <v>646</v>
      </c>
    </row>
    <row r="1080" ht="22.5" customHeight="1">
      <c r="A1080" s="9"/>
      <c r="B1080" s="56"/>
      <c r="C1080" s="13" t="str">
        <f>IFERROR(__xludf.DUMMYFUNCTION("IF(B1080="""","""",LOWER(REGEXREPLACE(B1080,""[^A-Za-z0-9]"",""""))&amp;""-""&amp;TEXT(COUNTIF($B$2:B1080,B1080),""000""))"),"")</f>
        <v/>
      </c>
      <c r="D1080" s="57"/>
      <c r="E1080" s="58"/>
      <c r="F1080" s="59"/>
      <c r="G1080" s="10"/>
      <c r="H1080" s="55"/>
      <c r="I1080" s="28"/>
      <c r="J1080" s="28" t="s">
        <v>646</v>
      </c>
    </row>
    <row r="1081" ht="22.5" customHeight="1">
      <c r="A1081" s="9"/>
      <c r="B1081" s="56"/>
      <c r="C1081" s="13" t="str">
        <f>IFERROR(__xludf.DUMMYFUNCTION("IF(B1081="""","""",LOWER(REGEXREPLACE(B1081,""[^A-Za-z0-9]"",""""))&amp;""-""&amp;TEXT(COUNTIF($B$2:B1081,B1081),""000""))"),"")</f>
        <v/>
      </c>
      <c r="D1081" s="57"/>
      <c r="E1081" s="58"/>
      <c r="F1081" s="59"/>
      <c r="G1081" s="10"/>
      <c r="H1081" s="55"/>
      <c r="I1081" s="28"/>
      <c r="J1081" s="28" t="s">
        <v>646</v>
      </c>
    </row>
    <row r="1082" ht="22.5" customHeight="1">
      <c r="A1082" s="9"/>
      <c r="B1082" s="56"/>
      <c r="C1082" s="13" t="str">
        <f>IFERROR(__xludf.DUMMYFUNCTION("IF(B1082="""","""",LOWER(REGEXREPLACE(B1082,""[^A-Za-z0-9]"",""""))&amp;""-""&amp;TEXT(COUNTIF($B$2:B1082,B1082),""000""))"),"")</f>
        <v/>
      </c>
      <c r="D1082" s="57"/>
      <c r="E1082" s="58"/>
      <c r="F1082" s="59"/>
      <c r="G1082" s="10"/>
      <c r="H1082" s="55"/>
      <c r="I1082" s="28"/>
      <c r="J1082" s="28" t="s">
        <v>646</v>
      </c>
    </row>
    <row r="1083" ht="22.5" customHeight="1">
      <c r="A1083" s="9"/>
      <c r="B1083" s="56"/>
      <c r="C1083" s="13" t="str">
        <f>IFERROR(__xludf.DUMMYFUNCTION("IF(B1083="""","""",LOWER(REGEXREPLACE(B1083,""[^A-Za-z0-9]"",""""))&amp;""-""&amp;TEXT(COUNTIF($B$2:B1083,B1083),""000""))"),"")</f>
        <v/>
      </c>
      <c r="D1083" s="57"/>
      <c r="E1083" s="58"/>
      <c r="F1083" s="59"/>
      <c r="G1083" s="10"/>
      <c r="H1083" s="55"/>
      <c r="I1083" s="28"/>
      <c r="J1083" s="28" t="s">
        <v>646</v>
      </c>
    </row>
    <row r="1084" ht="22.5" customHeight="1">
      <c r="A1084" s="9"/>
      <c r="B1084" s="56"/>
      <c r="C1084" s="13" t="str">
        <f>IFERROR(__xludf.DUMMYFUNCTION("IF(B1084="""","""",LOWER(REGEXREPLACE(B1084,""[^A-Za-z0-9]"",""""))&amp;""-""&amp;TEXT(COUNTIF($B$2:B1084,B1084),""000""))"),"")</f>
        <v/>
      </c>
      <c r="D1084" s="57"/>
      <c r="E1084" s="58"/>
      <c r="F1084" s="59"/>
      <c r="G1084" s="10"/>
      <c r="H1084" s="55"/>
      <c r="I1084" s="28"/>
      <c r="J1084" s="28" t="s">
        <v>646</v>
      </c>
    </row>
    <row r="1085" ht="22.5" customHeight="1">
      <c r="A1085" s="9"/>
      <c r="B1085" s="56"/>
      <c r="C1085" s="13" t="str">
        <f>IFERROR(__xludf.DUMMYFUNCTION("IF(B1085="""","""",LOWER(REGEXREPLACE(B1085,""[^A-Za-z0-9]"",""""))&amp;""-""&amp;TEXT(COUNTIF($B$2:B1085,B1085),""000""))"),"")</f>
        <v/>
      </c>
      <c r="D1085" s="57"/>
      <c r="E1085" s="58"/>
      <c r="F1085" s="59"/>
      <c r="G1085" s="10"/>
      <c r="H1085" s="55"/>
      <c r="I1085" s="28"/>
      <c r="J1085" s="28" t="s">
        <v>646</v>
      </c>
    </row>
    <row r="1086" ht="22.5" customHeight="1">
      <c r="A1086" s="9"/>
      <c r="B1086" s="56"/>
      <c r="C1086" s="13" t="str">
        <f>IFERROR(__xludf.DUMMYFUNCTION("IF(B1086="""","""",LOWER(REGEXREPLACE(B1086,""[^A-Za-z0-9]"",""""))&amp;""-""&amp;TEXT(COUNTIF($B$2:B1086,B1086),""000""))"),"")</f>
        <v/>
      </c>
      <c r="D1086" s="57"/>
      <c r="E1086" s="58"/>
      <c r="F1086" s="59"/>
      <c r="G1086" s="10"/>
      <c r="H1086" s="55"/>
      <c r="I1086" s="28"/>
      <c r="J1086" s="28" t="s">
        <v>646</v>
      </c>
    </row>
    <row r="1087" ht="22.5" customHeight="1">
      <c r="A1087" s="9"/>
      <c r="B1087" s="56"/>
      <c r="C1087" s="13" t="str">
        <f>IFERROR(__xludf.DUMMYFUNCTION("IF(B1087="""","""",LOWER(REGEXREPLACE(B1087,""[^A-Za-z0-9]"",""""))&amp;""-""&amp;TEXT(COUNTIF($B$2:B1087,B1087),""000""))"),"")</f>
        <v/>
      </c>
      <c r="D1087" s="57"/>
      <c r="E1087" s="58"/>
      <c r="F1087" s="59"/>
      <c r="G1087" s="10"/>
      <c r="H1087" s="55"/>
      <c r="I1087" s="28"/>
      <c r="J1087" s="28" t="s">
        <v>646</v>
      </c>
    </row>
    <row r="1088" ht="22.5" customHeight="1">
      <c r="A1088" s="9"/>
      <c r="B1088" s="56"/>
      <c r="C1088" s="13" t="str">
        <f>IFERROR(__xludf.DUMMYFUNCTION("IF(B1088="""","""",LOWER(REGEXREPLACE(B1088,""[^A-Za-z0-9]"",""""))&amp;""-""&amp;TEXT(COUNTIF($B$2:B1088,B1088),""000""))"),"")</f>
        <v/>
      </c>
      <c r="D1088" s="57"/>
      <c r="E1088" s="58"/>
      <c r="F1088" s="59"/>
      <c r="G1088" s="10"/>
      <c r="H1088" s="55"/>
      <c r="I1088" s="28"/>
      <c r="J1088" s="28" t="s">
        <v>646</v>
      </c>
    </row>
    <row r="1089" ht="22.5" customHeight="1">
      <c r="A1089" s="9"/>
      <c r="B1089" s="56"/>
      <c r="C1089" s="13" t="str">
        <f>IFERROR(__xludf.DUMMYFUNCTION("IF(B1089="""","""",LOWER(REGEXREPLACE(B1089,""[^A-Za-z0-9]"",""""))&amp;""-""&amp;TEXT(COUNTIF($B$2:B1089,B1089),""000""))"),"")</f>
        <v/>
      </c>
      <c r="D1089" s="57"/>
      <c r="E1089" s="58"/>
      <c r="F1089" s="59"/>
      <c r="G1089" s="10"/>
      <c r="H1089" s="55"/>
      <c r="I1089" s="28"/>
      <c r="J1089" s="28" t="s">
        <v>646</v>
      </c>
    </row>
    <row r="1090" ht="22.5" customHeight="1">
      <c r="A1090" s="9"/>
      <c r="B1090" s="56"/>
      <c r="C1090" s="13" t="str">
        <f>IFERROR(__xludf.DUMMYFUNCTION("IF(B1090="""","""",LOWER(REGEXREPLACE(B1090,""[^A-Za-z0-9]"",""""))&amp;""-""&amp;TEXT(COUNTIF($B$2:B1090,B1090),""000""))"),"")</f>
        <v/>
      </c>
      <c r="D1090" s="57"/>
      <c r="E1090" s="58"/>
      <c r="F1090" s="59"/>
      <c r="G1090" s="10"/>
      <c r="H1090" s="55"/>
      <c r="I1090" s="28"/>
      <c r="J1090" s="28" t="s">
        <v>646</v>
      </c>
    </row>
    <row r="1091" ht="22.5" customHeight="1">
      <c r="A1091" s="9"/>
      <c r="B1091" s="56"/>
      <c r="C1091" s="13" t="str">
        <f>IFERROR(__xludf.DUMMYFUNCTION("IF(B1091="""","""",LOWER(REGEXREPLACE(B1091,""[^A-Za-z0-9]"",""""))&amp;""-""&amp;TEXT(COUNTIF($B$2:B1091,B1091),""000""))"),"")</f>
        <v/>
      </c>
      <c r="D1091" s="57"/>
      <c r="E1091" s="58"/>
      <c r="F1091" s="59"/>
      <c r="G1091" s="10"/>
      <c r="H1091" s="55"/>
      <c r="I1091" s="28"/>
      <c r="J1091" s="28" t="s">
        <v>646</v>
      </c>
    </row>
    <row r="1092" ht="22.5" customHeight="1">
      <c r="A1092" s="9"/>
      <c r="B1092" s="56"/>
      <c r="C1092" s="13" t="str">
        <f>IFERROR(__xludf.DUMMYFUNCTION("IF(B1092="""","""",LOWER(REGEXREPLACE(B1092,""[^A-Za-z0-9]"",""""))&amp;""-""&amp;TEXT(COUNTIF($B$2:B1092,B1092),""000""))"),"")</f>
        <v/>
      </c>
      <c r="D1092" s="57"/>
      <c r="E1092" s="58"/>
      <c r="F1092" s="59"/>
      <c r="G1092" s="10"/>
      <c r="H1092" s="55"/>
      <c r="I1092" s="28"/>
      <c r="J1092" s="28" t="s">
        <v>646</v>
      </c>
    </row>
    <row r="1093" ht="22.5" customHeight="1">
      <c r="A1093" s="9"/>
      <c r="B1093" s="56"/>
      <c r="C1093" s="13" t="str">
        <f>IFERROR(__xludf.DUMMYFUNCTION("IF(B1093="""","""",LOWER(REGEXREPLACE(B1093,""[^A-Za-z0-9]"",""""))&amp;""-""&amp;TEXT(COUNTIF($B$2:B1093,B1093),""000""))"),"")</f>
        <v/>
      </c>
      <c r="D1093" s="57"/>
      <c r="E1093" s="58"/>
      <c r="F1093" s="59"/>
      <c r="G1093" s="10"/>
      <c r="H1093" s="55"/>
      <c r="I1093" s="28"/>
      <c r="J1093" s="28" t="s">
        <v>646</v>
      </c>
    </row>
    <row r="1094" ht="22.5" customHeight="1">
      <c r="A1094" s="9"/>
      <c r="B1094" s="56"/>
      <c r="C1094" s="13" t="str">
        <f>IFERROR(__xludf.DUMMYFUNCTION("IF(B1094="""","""",LOWER(REGEXREPLACE(B1094,""[^A-Za-z0-9]"",""""))&amp;""-""&amp;TEXT(COUNTIF($B$2:B1094,B1094),""000""))"),"")</f>
        <v/>
      </c>
      <c r="D1094" s="57"/>
      <c r="E1094" s="58"/>
      <c r="F1094" s="59"/>
      <c r="G1094" s="10"/>
      <c r="H1094" s="55"/>
      <c r="I1094" s="28"/>
      <c r="J1094" s="28" t="s">
        <v>646</v>
      </c>
    </row>
    <row r="1095" ht="22.5" customHeight="1">
      <c r="A1095" s="9"/>
      <c r="B1095" s="56"/>
      <c r="C1095" s="13" t="str">
        <f>IFERROR(__xludf.DUMMYFUNCTION("IF(B1095="""","""",LOWER(REGEXREPLACE(B1095,""[^A-Za-z0-9]"",""""))&amp;""-""&amp;TEXT(COUNTIF($B$2:B1095,B1095),""000""))"),"")</f>
        <v/>
      </c>
      <c r="D1095" s="57"/>
      <c r="E1095" s="58"/>
      <c r="F1095" s="59"/>
      <c r="G1095" s="10"/>
      <c r="H1095" s="55"/>
      <c r="I1095" s="28"/>
      <c r="J1095" s="28" t="s">
        <v>646</v>
      </c>
    </row>
    <row r="1096" ht="22.5" customHeight="1">
      <c r="A1096" s="9"/>
      <c r="B1096" s="56"/>
      <c r="C1096" s="13" t="str">
        <f>IFERROR(__xludf.DUMMYFUNCTION("IF(B1096="""","""",LOWER(REGEXREPLACE(B1096,""[^A-Za-z0-9]"",""""))&amp;""-""&amp;TEXT(COUNTIF($B$2:B1096,B1096),""000""))"),"")</f>
        <v/>
      </c>
      <c r="D1096" s="57"/>
      <c r="E1096" s="58"/>
      <c r="F1096" s="59"/>
      <c r="G1096" s="10"/>
      <c r="H1096" s="55"/>
      <c r="I1096" s="28"/>
      <c r="J1096" s="28" t="s">
        <v>646</v>
      </c>
    </row>
    <row r="1097" ht="22.5" customHeight="1">
      <c r="A1097" s="9"/>
      <c r="B1097" s="56"/>
      <c r="C1097" s="13" t="str">
        <f>IFERROR(__xludf.DUMMYFUNCTION("IF(B1097="""","""",LOWER(REGEXREPLACE(B1097,""[^A-Za-z0-9]"",""""))&amp;""-""&amp;TEXT(COUNTIF($B$2:B1097,B1097),""000""))"),"")</f>
        <v/>
      </c>
      <c r="D1097" s="57"/>
      <c r="E1097" s="58"/>
      <c r="F1097" s="59"/>
      <c r="G1097" s="10"/>
      <c r="H1097" s="55"/>
      <c r="I1097" s="28"/>
      <c r="J1097" s="28" t="s">
        <v>646</v>
      </c>
    </row>
    <row r="1098" ht="22.5" customHeight="1">
      <c r="A1098" s="9"/>
      <c r="B1098" s="56"/>
      <c r="C1098" s="13" t="str">
        <f>IFERROR(__xludf.DUMMYFUNCTION("IF(B1098="""","""",LOWER(REGEXREPLACE(B1098,""[^A-Za-z0-9]"",""""))&amp;""-""&amp;TEXT(COUNTIF($B$2:B1098,B1098),""000""))"),"")</f>
        <v/>
      </c>
      <c r="D1098" s="57"/>
      <c r="E1098" s="58"/>
      <c r="F1098" s="59"/>
      <c r="G1098" s="10"/>
      <c r="H1098" s="55"/>
      <c r="I1098" s="28"/>
      <c r="J1098" s="28" t="s">
        <v>646</v>
      </c>
    </row>
    <row r="1099" ht="22.5" customHeight="1">
      <c r="A1099" s="9"/>
      <c r="B1099" s="56"/>
      <c r="C1099" s="13" t="str">
        <f>IFERROR(__xludf.DUMMYFUNCTION("IF(B1099="""","""",LOWER(REGEXREPLACE(B1099,""[^A-Za-z0-9]"",""""))&amp;""-""&amp;TEXT(COUNTIF($B$2:B1099,B1099),""000""))"),"")</f>
        <v/>
      </c>
      <c r="D1099" s="57"/>
      <c r="E1099" s="58"/>
      <c r="F1099" s="59"/>
      <c r="G1099" s="10"/>
      <c r="H1099" s="55"/>
      <c r="I1099" s="28"/>
      <c r="J1099" s="28" t="s">
        <v>646</v>
      </c>
    </row>
    <row r="1100" ht="22.5" customHeight="1">
      <c r="A1100" s="9"/>
      <c r="B1100" s="56"/>
      <c r="C1100" s="13" t="str">
        <f>IFERROR(__xludf.DUMMYFUNCTION("IF(B1100="""","""",LOWER(REGEXREPLACE(B1100,""[^A-Za-z0-9]"",""""))&amp;""-""&amp;TEXT(COUNTIF($B$2:B1100,B1100),""000""))"),"")</f>
        <v/>
      </c>
      <c r="D1100" s="57"/>
      <c r="E1100" s="58"/>
      <c r="F1100" s="59"/>
      <c r="G1100" s="10"/>
      <c r="H1100" s="55"/>
      <c r="I1100" s="28"/>
      <c r="J1100" s="28" t="s">
        <v>646</v>
      </c>
    </row>
    <row r="1101" ht="22.5" customHeight="1">
      <c r="A1101" s="9"/>
      <c r="B1101" s="56"/>
      <c r="C1101" s="13" t="str">
        <f>IFERROR(__xludf.DUMMYFUNCTION("IF(B1101="""","""",LOWER(REGEXREPLACE(B1101,""[^A-Za-z0-9]"",""""))&amp;""-""&amp;TEXT(COUNTIF($B$2:B1101,B1101),""000""))"),"")</f>
        <v/>
      </c>
      <c r="D1101" s="57"/>
      <c r="E1101" s="58"/>
      <c r="F1101" s="59"/>
      <c r="G1101" s="10"/>
      <c r="H1101" s="55"/>
      <c r="I1101" s="28"/>
      <c r="J1101" s="28" t="s">
        <v>646</v>
      </c>
    </row>
    <row r="1102" ht="22.5" customHeight="1">
      <c r="A1102" s="9"/>
      <c r="B1102" s="56"/>
      <c r="C1102" s="13" t="str">
        <f>IFERROR(__xludf.DUMMYFUNCTION("IF(B1102="""","""",LOWER(REGEXREPLACE(B1102,""[^A-Za-z0-9]"",""""))&amp;""-""&amp;TEXT(COUNTIF($B$2:B1102,B1102),""000""))"),"")</f>
        <v/>
      </c>
      <c r="D1102" s="57"/>
      <c r="E1102" s="58"/>
      <c r="F1102" s="59"/>
      <c r="G1102" s="10"/>
      <c r="H1102" s="55"/>
      <c r="I1102" s="28"/>
      <c r="J1102" s="28" t="s">
        <v>646</v>
      </c>
    </row>
    <row r="1103" ht="22.5" customHeight="1">
      <c r="A1103" s="9"/>
      <c r="B1103" s="56"/>
      <c r="C1103" s="13" t="str">
        <f>IFERROR(__xludf.DUMMYFUNCTION("IF(B1103="""","""",LOWER(REGEXREPLACE(B1103,""[^A-Za-z0-9]"",""""))&amp;""-""&amp;TEXT(COUNTIF($B$2:B1103,B1103),""000""))"),"")</f>
        <v/>
      </c>
      <c r="D1103" s="57"/>
      <c r="E1103" s="58"/>
      <c r="F1103" s="59"/>
      <c r="G1103" s="10"/>
      <c r="H1103" s="55"/>
      <c r="I1103" s="28"/>
      <c r="J1103" s="28" t="s">
        <v>646</v>
      </c>
    </row>
    <row r="1104" ht="22.5" customHeight="1">
      <c r="A1104" s="9"/>
      <c r="B1104" s="56"/>
      <c r="C1104" s="13" t="str">
        <f>IFERROR(__xludf.DUMMYFUNCTION("IF(B1104="""","""",LOWER(REGEXREPLACE(B1104,""[^A-Za-z0-9]"",""""))&amp;""-""&amp;TEXT(COUNTIF($B$2:B1104,B1104),""000""))"),"")</f>
        <v/>
      </c>
      <c r="D1104" s="57"/>
      <c r="E1104" s="58"/>
      <c r="F1104" s="59"/>
      <c r="G1104" s="10"/>
      <c r="H1104" s="55"/>
      <c r="I1104" s="28"/>
      <c r="J1104" s="28" t="s">
        <v>646</v>
      </c>
    </row>
    <row r="1105" ht="22.5" customHeight="1">
      <c r="A1105" s="9"/>
      <c r="B1105" s="56"/>
      <c r="C1105" s="13" t="str">
        <f>IFERROR(__xludf.DUMMYFUNCTION("IF(B1105="""","""",LOWER(REGEXREPLACE(B1105,""[^A-Za-z0-9]"",""""))&amp;""-""&amp;TEXT(COUNTIF($B$2:B1105,B1105),""000""))"),"")</f>
        <v/>
      </c>
      <c r="D1105" s="57"/>
      <c r="E1105" s="58"/>
      <c r="F1105" s="59"/>
      <c r="G1105" s="10"/>
      <c r="H1105" s="55"/>
      <c r="I1105" s="28"/>
      <c r="J1105" s="28" t="s">
        <v>646</v>
      </c>
    </row>
    <row r="1106" ht="22.5" customHeight="1">
      <c r="A1106" s="9"/>
      <c r="B1106" s="56"/>
      <c r="C1106" s="13" t="str">
        <f>IFERROR(__xludf.DUMMYFUNCTION("IF(B1106="""","""",LOWER(REGEXREPLACE(B1106,""[^A-Za-z0-9]"",""""))&amp;""-""&amp;TEXT(COUNTIF($B$2:B1106,B1106),""000""))"),"")</f>
        <v/>
      </c>
      <c r="D1106" s="57"/>
      <c r="E1106" s="58"/>
      <c r="F1106" s="59"/>
      <c r="G1106" s="10"/>
      <c r="H1106" s="55"/>
      <c r="I1106" s="28"/>
      <c r="J1106" s="28" t="s">
        <v>646</v>
      </c>
    </row>
    <row r="1107" ht="22.5" customHeight="1">
      <c r="A1107" s="9"/>
      <c r="B1107" s="56"/>
      <c r="C1107" s="13" t="str">
        <f>IFERROR(__xludf.DUMMYFUNCTION("IF(B1107="""","""",LOWER(REGEXREPLACE(B1107,""[^A-Za-z0-9]"",""""))&amp;""-""&amp;TEXT(COUNTIF($B$2:B1107,B1107),""000""))"),"")</f>
        <v/>
      </c>
      <c r="D1107" s="57"/>
      <c r="E1107" s="58"/>
      <c r="F1107" s="59"/>
      <c r="G1107" s="10"/>
      <c r="H1107" s="55"/>
      <c r="I1107" s="28"/>
      <c r="J1107" s="28" t="s">
        <v>646</v>
      </c>
    </row>
    <row r="1108" ht="22.5" customHeight="1">
      <c r="A1108" s="9"/>
      <c r="B1108" s="56"/>
      <c r="C1108" s="13" t="str">
        <f>IFERROR(__xludf.DUMMYFUNCTION("IF(B1108="""","""",LOWER(REGEXREPLACE(B1108,""[^A-Za-z0-9]"",""""))&amp;""-""&amp;TEXT(COUNTIF($B$2:B1108,B1108),""000""))"),"")</f>
        <v/>
      </c>
      <c r="D1108" s="57"/>
      <c r="E1108" s="58"/>
      <c r="F1108" s="59"/>
      <c r="G1108" s="10"/>
      <c r="H1108" s="55"/>
      <c r="I1108" s="28"/>
      <c r="J1108" s="28" t="s">
        <v>646</v>
      </c>
    </row>
    <row r="1109" ht="22.5" customHeight="1">
      <c r="A1109" s="9"/>
      <c r="B1109" s="56"/>
      <c r="C1109" s="13" t="str">
        <f>IFERROR(__xludf.DUMMYFUNCTION("IF(B1109="""","""",LOWER(REGEXREPLACE(B1109,""[^A-Za-z0-9]"",""""))&amp;""-""&amp;TEXT(COUNTIF($B$2:B1109,B1109),""000""))"),"")</f>
        <v/>
      </c>
      <c r="D1109" s="57"/>
      <c r="E1109" s="58"/>
      <c r="F1109" s="59"/>
      <c r="G1109" s="10"/>
      <c r="H1109" s="55"/>
      <c r="I1109" s="28"/>
      <c r="J1109" s="28" t="s">
        <v>646</v>
      </c>
    </row>
    <row r="1110" ht="22.5" customHeight="1">
      <c r="A1110" s="9"/>
      <c r="B1110" s="56"/>
      <c r="C1110" s="13" t="str">
        <f>IFERROR(__xludf.DUMMYFUNCTION("IF(B1110="""","""",LOWER(REGEXREPLACE(B1110,""[^A-Za-z0-9]"",""""))&amp;""-""&amp;TEXT(COUNTIF($B$2:B1110,B1110),""000""))"),"")</f>
        <v/>
      </c>
      <c r="D1110" s="57"/>
      <c r="E1110" s="58"/>
      <c r="F1110" s="59"/>
      <c r="G1110" s="10"/>
      <c r="H1110" s="55"/>
      <c r="I1110" s="28"/>
      <c r="J1110" s="28" t="s">
        <v>646</v>
      </c>
    </row>
    <row r="1111" ht="22.5" customHeight="1">
      <c r="A1111" s="9"/>
      <c r="B1111" s="56"/>
      <c r="C1111" s="13" t="str">
        <f>IFERROR(__xludf.DUMMYFUNCTION("IF(B1111="""","""",LOWER(REGEXREPLACE(B1111,""[^A-Za-z0-9]"",""""))&amp;""-""&amp;TEXT(COUNTIF($B$2:B1111,B1111),""000""))"),"")</f>
        <v/>
      </c>
      <c r="D1111" s="57"/>
      <c r="E1111" s="58"/>
      <c r="F1111" s="59"/>
      <c r="G1111" s="10"/>
      <c r="H1111" s="55"/>
      <c r="I1111" s="28"/>
      <c r="J1111" s="28" t="s">
        <v>646</v>
      </c>
    </row>
    <row r="1112" ht="22.5" customHeight="1">
      <c r="A1112" s="9"/>
      <c r="B1112" s="56"/>
      <c r="C1112" s="13" t="str">
        <f>IFERROR(__xludf.DUMMYFUNCTION("IF(B1112="""","""",LOWER(REGEXREPLACE(B1112,""[^A-Za-z0-9]"",""""))&amp;""-""&amp;TEXT(COUNTIF($B$2:B1112,B1112),""000""))"),"")</f>
        <v/>
      </c>
      <c r="D1112" s="57"/>
      <c r="E1112" s="58"/>
      <c r="F1112" s="59"/>
      <c r="G1112" s="10"/>
      <c r="H1112" s="55"/>
      <c r="I1112" s="28"/>
      <c r="J1112" s="28" t="s">
        <v>646</v>
      </c>
    </row>
    <row r="1113" ht="22.5" customHeight="1">
      <c r="A1113" s="9"/>
      <c r="B1113" s="56"/>
      <c r="C1113" s="13" t="str">
        <f>IFERROR(__xludf.DUMMYFUNCTION("IF(B1113="""","""",LOWER(REGEXREPLACE(B1113,""[^A-Za-z0-9]"",""""))&amp;""-""&amp;TEXT(COUNTIF($B$2:B1113,B1113),""000""))"),"")</f>
        <v/>
      </c>
      <c r="D1113" s="57"/>
      <c r="E1113" s="58"/>
      <c r="F1113" s="59"/>
      <c r="G1113" s="10"/>
      <c r="H1113" s="55"/>
      <c r="I1113" s="28"/>
      <c r="J1113" s="28" t="s">
        <v>646</v>
      </c>
    </row>
    <row r="1114" ht="22.5" customHeight="1">
      <c r="A1114" s="9"/>
      <c r="B1114" s="56"/>
      <c r="C1114" s="13" t="str">
        <f>IFERROR(__xludf.DUMMYFUNCTION("IF(B1114="""","""",LOWER(REGEXREPLACE(B1114,""[^A-Za-z0-9]"",""""))&amp;""-""&amp;TEXT(COUNTIF($B$2:B1114,B1114),""000""))"),"")</f>
        <v/>
      </c>
      <c r="D1114" s="57"/>
      <c r="E1114" s="58"/>
      <c r="F1114" s="59"/>
      <c r="G1114" s="10"/>
      <c r="H1114" s="55"/>
      <c r="I1114" s="28"/>
      <c r="J1114" s="28" t="s">
        <v>646</v>
      </c>
    </row>
    <row r="1115" ht="22.5" customHeight="1">
      <c r="A1115" s="9"/>
      <c r="B1115" s="56"/>
      <c r="C1115" s="13" t="str">
        <f>IFERROR(__xludf.DUMMYFUNCTION("IF(B1115="""","""",LOWER(REGEXREPLACE(B1115,""[^A-Za-z0-9]"",""""))&amp;""-""&amp;TEXT(COUNTIF($B$2:B1115,B1115),""000""))"),"")</f>
        <v/>
      </c>
      <c r="D1115" s="57"/>
      <c r="E1115" s="58"/>
      <c r="F1115" s="59"/>
      <c r="G1115" s="10"/>
      <c r="H1115" s="55"/>
      <c r="I1115" s="28"/>
      <c r="J1115" s="28" t="s">
        <v>646</v>
      </c>
    </row>
    <row r="1116" ht="22.5" customHeight="1">
      <c r="A1116" s="9"/>
      <c r="B1116" s="56"/>
      <c r="C1116" s="13" t="str">
        <f>IFERROR(__xludf.DUMMYFUNCTION("IF(B1116="""","""",LOWER(REGEXREPLACE(B1116,""[^A-Za-z0-9]"",""""))&amp;""-""&amp;TEXT(COUNTIF($B$2:B1116,B1116),""000""))"),"")</f>
        <v/>
      </c>
      <c r="D1116" s="57"/>
      <c r="E1116" s="58"/>
      <c r="F1116" s="59"/>
      <c r="G1116" s="10"/>
      <c r="H1116" s="55"/>
      <c r="I1116" s="28"/>
      <c r="J1116" s="28" t="s">
        <v>646</v>
      </c>
    </row>
    <row r="1117" ht="22.5" customHeight="1">
      <c r="A1117" s="9"/>
      <c r="B1117" s="56"/>
      <c r="C1117" s="13" t="str">
        <f>IFERROR(__xludf.DUMMYFUNCTION("IF(B1117="""","""",LOWER(REGEXREPLACE(B1117,""[^A-Za-z0-9]"",""""))&amp;""-""&amp;TEXT(COUNTIF($B$2:B1117,B1117),""000""))"),"")</f>
        <v/>
      </c>
      <c r="D1117" s="57"/>
      <c r="E1117" s="58"/>
      <c r="F1117" s="59"/>
      <c r="G1117" s="10"/>
      <c r="H1117" s="55"/>
      <c r="I1117" s="28"/>
      <c r="J1117" s="28" t="s">
        <v>646</v>
      </c>
    </row>
    <row r="1118" ht="22.5" customHeight="1">
      <c r="A1118" s="9"/>
      <c r="B1118" s="56"/>
      <c r="C1118" s="13" t="str">
        <f>IFERROR(__xludf.DUMMYFUNCTION("IF(B1118="""","""",LOWER(REGEXREPLACE(B1118,""[^A-Za-z0-9]"",""""))&amp;""-""&amp;TEXT(COUNTIF($B$2:B1118,B1118),""000""))"),"")</f>
        <v/>
      </c>
      <c r="D1118" s="57"/>
      <c r="E1118" s="58"/>
      <c r="F1118" s="59"/>
      <c r="G1118" s="10"/>
      <c r="H1118" s="55"/>
      <c r="I1118" s="28"/>
      <c r="J1118" s="28" t="s">
        <v>646</v>
      </c>
    </row>
    <row r="1119" ht="22.5" customHeight="1">
      <c r="A1119" s="9"/>
      <c r="B1119" s="56"/>
      <c r="C1119" s="13" t="str">
        <f>IFERROR(__xludf.DUMMYFUNCTION("IF(B1119="""","""",LOWER(REGEXREPLACE(B1119,""[^A-Za-z0-9]"",""""))&amp;""-""&amp;TEXT(COUNTIF($B$2:B1119,B1119),""000""))"),"")</f>
        <v/>
      </c>
      <c r="D1119" s="57"/>
      <c r="E1119" s="58"/>
      <c r="F1119" s="59"/>
      <c r="G1119" s="10"/>
      <c r="H1119" s="55"/>
      <c r="I1119" s="28"/>
      <c r="J1119" s="28" t="s">
        <v>646</v>
      </c>
    </row>
    <row r="1120" ht="22.5" customHeight="1">
      <c r="A1120" s="9"/>
      <c r="B1120" s="56"/>
      <c r="C1120" s="13" t="str">
        <f>IFERROR(__xludf.DUMMYFUNCTION("IF(B1120="""","""",LOWER(REGEXREPLACE(B1120,""[^A-Za-z0-9]"",""""))&amp;""-""&amp;TEXT(COUNTIF($B$2:B1120,B1120),""000""))"),"")</f>
        <v/>
      </c>
      <c r="D1120" s="57"/>
      <c r="E1120" s="58"/>
      <c r="F1120" s="59"/>
      <c r="G1120" s="10"/>
      <c r="H1120" s="55"/>
      <c r="I1120" s="28"/>
      <c r="J1120" s="28" t="s">
        <v>646</v>
      </c>
    </row>
  </sheetData>
  <conditionalFormatting sqref="J1:J1120">
    <cfRule type="cellIs" dxfId="5" priority="1" operator="lessThan">
      <formula>5</formula>
    </cfRule>
  </conditionalFormatting>
  <conditionalFormatting sqref="J1:J1120">
    <cfRule type="notContainsBlanks" dxfId="6" priority="2">
      <formula>LEN(TRIM(J1))&gt;0</formula>
    </cfRule>
  </conditionalFormatting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10"/>
    <hyperlink r:id="rId109" ref="E112"/>
    <hyperlink r:id="rId110" ref="E113"/>
    <hyperlink r:id="rId111" ref="E114"/>
    <hyperlink r:id="rId112" ref="E115"/>
    <hyperlink r:id="rId113" ref="E116"/>
    <hyperlink r:id="rId114" ref="E117"/>
    <hyperlink r:id="rId115" ref="E118"/>
    <hyperlink r:id="rId116" ref="E119"/>
    <hyperlink r:id="rId117" ref="E120"/>
    <hyperlink r:id="rId118" ref="E121"/>
    <hyperlink r:id="rId119" ref="H142"/>
    <hyperlink r:id="rId120" ref="H143"/>
    <hyperlink r:id="rId121" ref="H144"/>
    <hyperlink r:id="rId122" ref="H145"/>
    <hyperlink r:id="rId123" ref="H146"/>
  </hyperlinks>
  <drawing r:id="rId124"/>
  <tableParts count="1">
    <tablePart r:id="rId1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1.57"/>
    <col customWidth="1" min="6" max="6" width="22.86"/>
    <col customWidth="1" min="7" max="7" width="21.57"/>
    <col customWidth="1" min="8" max="8" width="24.29"/>
    <col customWidth="1" min="9" max="20" width="21.57"/>
  </cols>
  <sheetData>
    <row r="1" ht="22.5" customHeight="1">
      <c r="A1" s="3" t="s">
        <v>12</v>
      </c>
      <c r="B1" s="3" t="s">
        <v>0</v>
      </c>
      <c r="C1" s="4" t="s">
        <v>14</v>
      </c>
      <c r="D1" s="3" t="s">
        <v>2</v>
      </c>
      <c r="E1" s="3" t="s">
        <v>3</v>
      </c>
      <c r="F1" s="4" t="s">
        <v>15</v>
      </c>
      <c r="G1" s="3" t="s">
        <v>5</v>
      </c>
      <c r="H1" s="3" t="s">
        <v>6</v>
      </c>
      <c r="I1" s="3" t="s">
        <v>7</v>
      </c>
      <c r="J1" s="3" t="s">
        <v>22</v>
      </c>
      <c r="K1" s="3" t="s">
        <v>11</v>
      </c>
      <c r="L1" s="8" t="s">
        <v>16</v>
      </c>
      <c r="M1" s="8" t="s">
        <v>10</v>
      </c>
      <c r="N1" s="8" t="s">
        <v>17</v>
      </c>
    </row>
    <row r="2" ht="22.5" customHeight="1">
      <c r="A2" s="9">
        <v>45869.8202387037</v>
      </c>
      <c r="B2" s="10" t="s">
        <v>28</v>
      </c>
      <c r="C2" s="10" t="s">
        <v>28</v>
      </c>
      <c r="D2" s="10" t="s">
        <v>33</v>
      </c>
      <c r="E2" s="10" t="s">
        <v>34</v>
      </c>
      <c r="F2" s="11" t="s">
        <v>35</v>
      </c>
      <c r="G2" s="10" t="s">
        <v>44</v>
      </c>
      <c r="H2" s="10" t="s">
        <v>45</v>
      </c>
      <c r="I2" s="10" t="s">
        <v>49</v>
      </c>
      <c r="J2" s="10" t="s">
        <v>50</v>
      </c>
      <c r="K2" s="10" t="s">
        <v>51</v>
      </c>
      <c r="L2" s="12"/>
      <c r="M2" s="12"/>
      <c r="N2" s="12"/>
    </row>
    <row r="3" ht="22.5" customHeight="1">
      <c r="A3" s="14">
        <v>45869.823140775465</v>
      </c>
      <c r="B3" s="15" t="s">
        <v>20</v>
      </c>
      <c r="C3" s="15" t="s">
        <v>20</v>
      </c>
      <c r="D3" s="15" t="s">
        <v>33</v>
      </c>
      <c r="E3" s="15" t="s">
        <v>63</v>
      </c>
      <c r="F3" s="16" t="s">
        <v>21</v>
      </c>
      <c r="G3" s="15" t="s">
        <v>44</v>
      </c>
      <c r="H3" s="15" t="s">
        <v>45</v>
      </c>
      <c r="I3" s="15" t="s">
        <v>70</v>
      </c>
      <c r="J3" s="15" t="s">
        <v>50</v>
      </c>
      <c r="K3" s="15" t="s">
        <v>23</v>
      </c>
      <c r="L3" s="17"/>
      <c r="M3" s="17"/>
      <c r="N3" s="17"/>
    </row>
    <row r="4" ht="22.5" customHeight="1">
      <c r="A4" s="14">
        <v>45869.824914490746</v>
      </c>
      <c r="B4" s="15" t="s">
        <v>25</v>
      </c>
      <c r="C4" s="15" t="s">
        <v>25</v>
      </c>
      <c r="D4" s="15" t="s">
        <v>33</v>
      </c>
      <c r="E4" s="15" t="s">
        <v>74</v>
      </c>
      <c r="F4" s="16" t="s">
        <v>26</v>
      </c>
      <c r="G4" s="15" t="s">
        <v>44</v>
      </c>
      <c r="H4" s="15" t="s">
        <v>45</v>
      </c>
      <c r="I4" s="15" t="s">
        <v>49</v>
      </c>
      <c r="J4" s="15" t="s">
        <v>50</v>
      </c>
    </row>
    <row r="5" ht="22.5" customHeight="1">
      <c r="A5" s="14">
        <v>45869.826226793986</v>
      </c>
      <c r="B5" s="15" t="s">
        <v>31</v>
      </c>
      <c r="C5" s="15" t="s">
        <v>31</v>
      </c>
      <c r="D5" s="15" t="s">
        <v>33</v>
      </c>
      <c r="E5" s="15" t="s">
        <v>82</v>
      </c>
      <c r="F5" s="16" t="s">
        <v>32</v>
      </c>
      <c r="G5" s="15" t="s">
        <v>44</v>
      </c>
      <c r="H5" s="15" t="s">
        <v>45</v>
      </c>
      <c r="I5" s="15" t="s">
        <v>49</v>
      </c>
      <c r="J5" s="15" t="s">
        <v>50</v>
      </c>
      <c r="K5" s="15" t="s">
        <v>36</v>
      </c>
      <c r="L5" s="17"/>
      <c r="M5" s="17"/>
      <c r="N5" s="17"/>
    </row>
    <row r="6" ht="22.5" customHeight="1">
      <c r="A6" s="14">
        <v>45869.827065335645</v>
      </c>
      <c r="B6" s="15" t="s">
        <v>38</v>
      </c>
      <c r="C6" s="15" t="s">
        <v>38</v>
      </c>
      <c r="D6" s="15" t="s">
        <v>33</v>
      </c>
      <c r="E6" s="15" t="s">
        <v>96</v>
      </c>
      <c r="F6" s="16" t="s">
        <v>39</v>
      </c>
      <c r="G6" s="15" t="s">
        <v>44</v>
      </c>
      <c r="H6" s="15" t="s">
        <v>45</v>
      </c>
      <c r="I6" s="15" t="s">
        <v>49</v>
      </c>
      <c r="J6" s="15" t="s">
        <v>50</v>
      </c>
    </row>
    <row r="7" ht="22.5" customHeight="1">
      <c r="A7" s="14">
        <v>45869.82815883102</v>
      </c>
      <c r="B7" s="15" t="s">
        <v>42</v>
      </c>
      <c r="C7" s="15" t="s">
        <v>42</v>
      </c>
      <c r="D7" s="15" t="s">
        <v>33</v>
      </c>
      <c r="F7" s="16" t="s">
        <v>43</v>
      </c>
      <c r="G7" s="15" t="s">
        <v>44</v>
      </c>
      <c r="H7" s="15" t="s">
        <v>45</v>
      </c>
      <c r="I7" s="15" t="s">
        <v>49</v>
      </c>
      <c r="J7" s="15" t="s">
        <v>50</v>
      </c>
    </row>
    <row r="8" ht="22.5" customHeight="1">
      <c r="A8" s="14">
        <v>45869.829103298616</v>
      </c>
      <c r="B8" s="15" t="s">
        <v>108</v>
      </c>
      <c r="C8" s="15" t="s">
        <v>47</v>
      </c>
      <c r="D8" s="15" t="s">
        <v>33</v>
      </c>
      <c r="F8" s="16" t="s">
        <v>48</v>
      </c>
      <c r="G8" s="15" t="s">
        <v>44</v>
      </c>
      <c r="H8" s="15" t="s">
        <v>45</v>
      </c>
      <c r="I8" s="15" t="s">
        <v>49</v>
      </c>
      <c r="J8" s="15" t="s">
        <v>50</v>
      </c>
    </row>
    <row r="9" ht="22.5" customHeight="1">
      <c r="A9" s="14">
        <v>45869.83008886574</v>
      </c>
      <c r="B9" s="15" t="s">
        <v>57</v>
      </c>
      <c r="C9" s="15" t="s">
        <v>57</v>
      </c>
      <c r="D9" s="15" t="s">
        <v>33</v>
      </c>
      <c r="F9" s="16" t="s">
        <v>59</v>
      </c>
      <c r="G9" s="15" t="s">
        <v>44</v>
      </c>
      <c r="H9" s="15" t="s">
        <v>45</v>
      </c>
      <c r="I9" s="15" t="s">
        <v>49</v>
      </c>
      <c r="J9" s="15" t="s">
        <v>50</v>
      </c>
    </row>
    <row r="10" ht="22.5" customHeight="1">
      <c r="A10" s="14">
        <v>45869.83091939815</v>
      </c>
      <c r="B10" s="15" t="s">
        <v>61</v>
      </c>
      <c r="C10" s="15" t="s">
        <v>61</v>
      </c>
      <c r="D10" s="15" t="s">
        <v>33</v>
      </c>
      <c r="F10" s="16" t="s">
        <v>62</v>
      </c>
      <c r="G10" s="15" t="s">
        <v>44</v>
      </c>
      <c r="H10" s="15" t="s">
        <v>45</v>
      </c>
      <c r="I10" s="15" t="s">
        <v>49</v>
      </c>
      <c r="J10" s="15" t="s">
        <v>50</v>
      </c>
    </row>
    <row r="11" ht="22.5" customHeight="1">
      <c r="A11" s="14">
        <v>45869.83203784723</v>
      </c>
      <c r="B11" s="15" t="s">
        <v>65</v>
      </c>
      <c r="C11" s="15" t="s">
        <v>65</v>
      </c>
      <c r="D11" s="15" t="s">
        <v>33</v>
      </c>
      <c r="F11" s="16" t="s">
        <v>66</v>
      </c>
      <c r="G11" s="15" t="s">
        <v>44</v>
      </c>
      <c r="H11" s="15" t="s">
        <v>45</v>
      </c>
      <c r="I11" s="15" t="s">
        <v>49</v>
      </c>
      <c r="J11" s="15" t="s">
        <v>50</v>
      </c>
    </row>
    <row r="12" ht="22.5" customHeight="1">
      <c r="A12" s="14">
        <v>45869.83304201389</v>
      </c>
      <c r="B12" s="15" t="s">
        <v>68</v>
      </c>
      <c r="C12" s="15" t="s">
        <v>68</v>
      </c>
      <c r="D12" s="15" t="s">
        <v>33</v>
      </c>
      <c r="F12" s="16" t="s">
        <v>69</v>
      </c>
      <c r="G12" s="15" t="s">
        <v>44</v>
      </c>
      <c r="H12" s="15" t="s">
        <v>45</v>
      </c>
      <c r="I12" s="15" t="s">
        <v>49</v>
      </c>
      <c r="J12" s="15" t="s">
        <v>50</v>
      </c>
    </row>
    <row r="13" ht="22.5" customHeight="1">
      <c r="A13" s="14">
        <v>45869.83381820602</v>
      </c>
      <c r="B13" s="15" t="s">
        <v>148</v>
      </c>
      <c r="C13" s="15" t="s">
        <v>72</v>
      </c>
      <c r="D13" s="15" t="s">
        <v>33</v>
      </c>
      <c r="F13" s="16" t="s">
        <v>73</v>
      </c>
      <c r="G13" s="15" t="s">
        <v>44</v>
      </c>
      <c r="H13" s="15" t="s">
        <v>45</v>
      </c>
      <c r="I13" s="15" t="s">
        <v>49</v>
      </c>
      <c r="J13" s="15" t="s">
        <v>50</v>
      </c>
    </row>
    <row r="14" ht="22.5" customHeight="1">
      <c r="A14" s="14">
        <v>45869.83459814815</v>
      </c>
      <c r="B14" s="15" t="s">
        <v>76</v>
      </c>
      <c r="C14" s="15" t="s">
        <v>76</v>
      </c>
      <c r="D14" s="15" t="s">
        <v>33</v>
      </c>
      <c r="F14" s="16" t="s">
        <v>77</v>
      </c>
      <c r="G14" s="15" t="s">
        <v>44</v>
      </c>
      <c r="H14" s="15" t="s">
        <v>45</v>
      </c>
      <c r="I14" s="15" t="s">
        <v>49</v>
      </c>
      <c r="J14" s="15" t="s">
        <v>50</v>
      </c>
    </row>
    <row r="15" ht="22.5" customHeight="1">
      <c r="A15" s="14">
        <v>45869.83548998843</v>
      </c>
      <c r="B15" s="15" t="s">
        <v>80</v>
      </c>
      <c r="C15" s="15" t="s">
        <v>80</v>
      </c>
      <c r="D15" s="15" t="s">
        <v>33</v>
      </c>
      <c r="F15" s="16" t="s">
        <v>81</v>
      </c>
      <c r="G15" s="15" t="s">
        <v>44</v>
      </c>
      <c r="H15" s="15" t="s">
        <v>45</v>
      </c>
      <c r="I15" s="15" t="s">
        <v>49</v>
      </c>
      <c r="J15" s="15" t="s">
        <v>50</v>
      </c>
    </row>
    <row r="16" ht="22.5" customHeight="1">
      <c r="A16" s="14">
        <v>45869.8364403125</v>
      </c>
      <c r="B16" s="15" t="s">
        <v>84</v>
      </c>
      <c r="C16" s="15" t="s">
        <v>84</v>
      </c>
      <c r="D16" s="15" t="s">
        <v>33</v>
      </c>
      <c r="F16" s="16" t="s">
        <v>85</v>
      </c>
      <c r="G16" s="15" t="s">
        <v>44</v>
      </c>
      <c r="H16" s="15" t="s">
        <v>45</v>
      </c>
      <c r="I16" s="15" t="s">
        <v>49</v>
      </c>
      <c r="J16" s="15" t="s">
        <v>50</v>
      </c>
    </row>
    <row r="17" ht="22.5" customHeight="1">
      <c r="A17" s="14">
        <v>45869.83714753472</v>
      </c>
      <c r="B17" s="15" t="s">
        <v>87</v>
      </c>
      <c r="C17" s="15" t="s">
        <v>87</v>
      </c>
      <c r="D17" s="15" t="s">
        <v>33</v>
      </c>
      <c r="F17" s="16" t="s">
        <v>88</v>
      </c>
      <c r="G17" s="15" t="s">
        <v>44</v>
      </c>
      <c r="H17" s="15" t="s">
        <v>45</v>
      </c>
      <c r="I17" s="15" t="s">
        <v>49</v>
      </c>
      <c r="J17" s="15" t="s">
        <v>50</v>
      </c>
    </row>
    <row r="18" ht="22.5" customHeight="1">
      <c r="A18" s="14">
        <v>45869.838089756944</v>
      </c>
      <c r="B18" s="15" t="s">
        <v>91</v>
      </c>
      <c r="C18" s="15" t="s">
        <v>91</v>
      </c>
      <c r="D18" s="15" t="s">
        <v>33</v>
      </c>
      <c r="E18" s="15" t="s">
        <v>178</v>
      </c>
      <c r="F18" s="16" t="s">
        <v>92</v>
      </c>
      <c r="H18" s="15" t="s">
        <v>45</v>
      </c>
      <c r="I18" s="15" t="s">
        <v>49</v>
      </c>
      <c r="J18" s="15" t="s">
        <v>50</v>
      </c>
    </row>
    <row r="19" ht="22.5" customHeight="1">
      <c r="A19" s="14">
        <v>45869.839203553245</v>
      </c>
      <c r="B19" s="15" t="s">
        <v>186</v>
      </c>
      <c r="C19" s="15" t="s">
        <v>94</v>
      </c>
      <c r="D19" s="15" t="s">
        <v>33</v>
      </c>
      <c r="E19" s="15" t="s">
        <v>96</v>
      </c>
      <c r="F19" s="16" t="s">
        <v>95</v>
      </c>
      <c r="G19" s="15" t="s">
        <v>44</v>
      </c>
      <c r="H19" s="15" t="s">
        <v>45</v>
      </c>
      <c r="I19" s="15" t="s">
        <v>49</v>
      </c>
      <c r="J19" s="15" t="s">
        <v>50</v>
      </c>
    </row>
    <row r="20" ht="22.5" customHeight="1">
      <c r="A20" s="14">
        <v>45870.71290454861</v>
      </c>
      <c r="B20" s="15" t="s">
        <v>192</v>
      </c>
      <c r="C20" s="15" t="s">
        <v>192</v>
      </c>
      <c r="D20" s="15" t="s">
        <v>33</v>
      </c>
      <c r="F20" s="16" t="s">
        <v>98</v>
      </c>
      <c r="G20" s="15" t="s">
        <v>44</v>
      </c>
      <c r="H20" s="15" t="s">
        <v>45</v>
      </c>
      <c r="I20" s="15" t="s">
        <v>49</v>
      </c>
      <c r="J20" s="15" t="s">
        <v>50</v>
      </c>
    </row>
    <row r="21" ht="22.5" customHeight="1">
      <c r="A21" s="14">
        <v>45870.713720370375</v>
      </c>
      <c r="B21" s="15" t="s">
        <v>199</v>
      </c>
      <c r="C21" s="15" t="s">
        <v>199</v>
      </c>
      <c r="D21" s="15" t="s">
        <v>33</v>
      </c>
      <c r="E21" s="15" t="s">
        <v>199</v>
      </c>
      <c r="F21" s="16" t="s">
        <v>203</v>
      </c>
      <c r="G21" s="15" t="s">
        <v>44</v>
      </c>
      <c r="H21" s="15" t="s">
        <v>45</v>
      </c>
      <c r="I21" s="15" t="s">
        <v>49</v>
      </c>
      <c r="J21" s="15" t="s">
        <v>50</v>
      </c>
    </row>
    <row r="22" ht="22.5" customHeight="1">
      <c r="A22" s="14">
        <v>45870.71823908565</v>
      </c>
      <c r="B22" s="15" t="s">
        <v>207</v>
      </c>
      <c r="C22" s="15" t="s">
        <v>103</v>
      </c>
      <c r="D22" s="15" t="s">
        <v>33</v>
      </c>
      <c r="F22" s="16" t="s">
        <v>104</v>
      </c>
      <c r="G22" s="15" t="s">
        <v>44</v>
      </c>
      <c r="H22" s="15" t="s">
        <v>45</v>
      </c>
      <c r="I22" s="15" t="s">
        <v>49</v>
      </c>
      <c r="J22" s="15" t="s">
        <v>50</v>
      </c>
    </row>
    <row r="23" ht="22.5" customHeight="1">
      <c r="A23" s="14">
        <v>45870.71887195602</v>
      </c>
      <c r="B23" s="15" t="s">
        <v>106</v>
      </c>
      <c r="C23" s="15" t="s">
        <v>106</v>
      </c>
      <c r="D23" s="15" t="s">
        <v>33</v>
      </c>
      <c r="F23" s="16" t="s">
        <v>107</v>
      </c>
      <c r="G23" s="15" t="s">
        <v>44</v>
      </c>
      <c r="H23" s="15" t="s">
        <v>45</v>
      </c>
      <c r="I23" s="15" t="s">
        <v>49</v>
      </c>
      <c r="J23" s="15" t="s">
        <v>50</v>
      </c>
    </row>
    <row r="24" ht="22.5" customHeight="1">
      <c r="A24" s="14">
        <v>45870.71958952546</v>
      </c>
      <c r="B24" s="15" t="s">
        <v>111</v>
      </c>
      <c r="C24" s="15" t="s">
        <v>111</v>
      </c>
      <c r="D24" s="15" t="s">
        <v>33</v>
      </c>
      <c r="F24" s="16" t="s">
        <v>112</v>
      </c>
      <c r="G24" s="15" t="s">
        <v>44</v>
      </c>
      <c r="H24" s="15" t="s">
        <v>45</v>
      </c>
      <c r="I24" s="15" t="s">
        <v>49</v>
      </c>
      <c r="K24" s="15" t="s">
        <v>113</v>
      </c>
      <c r="L24" s="17"/>
      <c r="M24" s="17"/>
      <c r="N24" s="17"/>
    </row>
    <row r="25" ht="22.5" customHeight="1">
      <c r="A25" s="14">
        <v>45870.72047158565</v>
      </c>
      <c r="B25" s="15" t="s">
        <v>116</v>
      </c>
      <c r="C25" s="15" t="s">
        <v>116</v>
      </c>
      <c r="D25" s="15" t="s">
        <v>33</v>
      </c>
      <c r="E25" s="15" t="s">
        <v>116</v>
      </c>
      <c r="F25" s="16" t="s">
        <v>117</v>
      </c>
      <c r="G25" s="15" t="s">
        <v>44</v>
      </c>
      <c r="H25" s="15" t="s">
        <v>45</v>
      </c>
      <c r="I25" s="15" t="s">
        <v>49</v>
      </c>
      <c r="J25" s="15" t="s">
        <v>50</v>
      </c>
      <c r="K25" s="15" t="s">
        <v>118</v>
      </c>
      <c r="L25" s="17"/>
      <c r="M25" s="17"/>
      <c r="N25" s="17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</hyperlinks>
  <drawing r:id="rId25"/>
  <tableParts count="1"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71"/>
    <col customWidth="1" min="3" max="3" width="8.86"/>
    <col customWidth="1" min="4" max="4" width="4.86"/>
    <col customWidth="1" min="5" max="5" width="16.71"/>
    <col customWidth="1" min="6" max="6" width="12.14"/>
    <col customWidth="1" min="7" max="7" width="19.0"/>
    <col customWidth="1" min="8" max="8" width="14.86"/>
    <col customWidth="1" min="9" max="9" width="12.0"/>
    <col customWidth="1" min="10" max="10" width="9.43"/>
    <col customWidth="1" min="11" max="11" width="6.57"/>
    <col customWidth="1" min="12" max="12" width="6.29"/>
    <col customWidth="1" min="13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1.14"/>
    <col customWidth="1" min="3" max="3" width="16.29"/>
    <col customWidth="1" min="4" max="4" width="19.0"/>
    <col customWidth="1" min="5" max="5" width="12.57"/>
    <col customWidth="1" min="6" max="6" width="6.29"/>
    <col customWidth="1" min="7" max="26" width="8.71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58</v>
      </c>
      <c r="F1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